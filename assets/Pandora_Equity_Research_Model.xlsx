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icals" sheetId="3" state="visible" r:id="rId5"/>
    <sheet name="Forecast" sheetId="4" state="visible" r:id="rId6"/>
    <sheet name="WACC" sheetId="5" state="visible" r:id="rId7"/>
    <sheet name="DCF" sheetId="6" state="visible" r:id="rId8"/>
    <sheet name="Scenarios" sheetId="7" state="visible" r:id="rId9"/>
    <sheet name="Comps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Close 07/09/2026, Nasdaq Copenhagen (Investing.com). Free data sources disagree on early-September prices (Investtech 851 on 02/09, TradeDesk 846 on 02/09, Investing.com 827 on 07/09), and neither Alpha Vantage nor the free FMP tier covers Copenhagen. CHECK THE CLOSE ON NASDAQ, NORDNET OR SAXO BEFORE SUBMITTING.</t>
        </r>
      </text>
    </comment>
    <comment ref="C6" authorId="0">
      <text>
        <r>
          <rPr>
            <sz val="10"/>
            <rFont val="Arial"/>
            <family val="2"/>
          </rPr>
          <t xml:space="preserve">c.75.0m shares issued (share capital DKK 75m, DKK 1 nominal, balance sheet 30/06/2026) less a small treasury holding; Investing.com shows 74.8m.</t>
        </r>
      </text>
    </comment>
    <comment ref="C12" authorId="0">
      <text>
        <r>
          <rPr>
            <sz val="10"/>
            <rFont val="Arial"/>
            <family val="2"/>
          </rPr>
          <t xml:space="preserve">DKK 22 paid in March 2026 for FY2025; assumed flat for the 2027 payment.</t>
        </r>
      </text>
    </comment>
    <comment ref="C14" authorId="0">
      <text>
        <r>
          <rPr>
            <sz val="10"/>
            <rFont val="Arial"/>
            <family val="2"/>
          </rPr>
          <t xml:space="preserve">Latest updates: JPMorgan 730 (3 Sep 2026), Morgan Stanley 800 (3 Sep), Citi 860 (20 Aug), UBS 861 (14 Aug), RBC 900 (19 Aug). Consensus average 853.4 (19 analysts: 5 Buy, 13 Hold, 1 Sell). Source: Investing.com.</t>
        </r>
      </text>
    </comment>
    <comment ref="C43" authorId="0">
      <text>
        <r>
          <rPr>
            <sz val="10"/>
            <rFont val="Arial"/>
            <family val="2"/>
          </rPr>
          <t xml:space="preserve">German 10y Bund c.3.25% in late August 2026 (Trading Economics). DKK is pegged to EUR; Danish 10y trades close to Bunds.</t>
        </r>
      </text>
    </comment>
    <comment ref="C44" authorId="0">
      <text>
        <r>
          <rPr>
            <sz val="10"/>
            <rFont val="Arial"/>
            <family val="2"/>
          </rPr>
          <t xml:space="preserve">5.5% retained, deliberately conservative. Reference point: the Damodaran-style total equity risk premium for Denmark is 4.23% (FMP market-risk-premium endpoint, pulled 14/09/2026), the same level as Germany, Switzerland and the Netherlands. Using 4.23% would cut the WACC by c.150bp and raise the DCF value materially, so the 5.5% assumption understates rather than flatters the valuation.</t>
        </r>
      </text>
    </comment>
    <comment ref="C45" authorId="0">
      <text>
        <r>
          <rPr>
            <sz val="10"/>
            <rFont val="Arial"/>
            <family val="2"/>
          </rPr>
          <t xml:space="preserve">Investing.com beta 1.26. Peer betas pulled from Alpha Vantage on 14/09/2026: Signet 1.11, Tapestry 1.43, Ralph Lauren 1.35 (median 1.35), Movado 0.94 (excluded from the panel). 1.20 retained, consistent with the peer median. Best practice: re-run a 5-year weekly regression against the OMXC25.</t>
        </r>
      </text>
    </comment>
    <comment ref="C46" authorId="0">
      <text>
        <r>
          <rPr>
            <sz val="10"/>
            <rFont val="Arial"/>
            <family val="2"/>
          </rPr>
          <t xml:space="preserve">Risk-free + c.100bp: investment-grade profile, EUR bonds issued in 2023 and 2024.</t>
        </r>
      </text>
    </comment>
    <comment ref="C47" authorId="0">
      <text>
        <r>
          <rPr>
            <sz val="10"/>
            <rFont val="Arial"/>
            <family val="2"/>
          </rPr>
          <t xml:space="preserve">Net debt excl. leases c.DKK 9bn vs market cap c.DKK 62bn = c.13%; 15% retained (policy: 0.5-1.5x NIBD/EBITDA).</t>
        </r>
      </text>
    </comment>
    <comment ref="C48" authorId="0">
      <text>
        <r>
          <rPr>
            <sz val="10"/>
            <rFont val="Arial"/>
            <family val="2"/>
          </rPr>
          <t xml:space="preserve">Long-run nominal growth of developed markets; the jewellery market has historically grown faster than GDP.</t>
        </r>
      </text>
    </comment>
    <comment ref="D13" authorId="0">
      <text>
        <r>
          <rPr>
            <sz val="10"/>
            <rFont val="Arial"/>
            <family val="2"/>
          </rPr>
          <t xml:space="preserve">Investing.com, September 2026</t>
        </r>
      </text>
    </comment>
    <comment ref="D23" authorId="0">
      <text>
        <r>
          <rPr>
            <sz val="10"/>
            <rFont val="Arial"/>
            <family val="2"/>
          </rPr>
          <t xml:space="preserve">2026 guidance (12 Aug 2026): organic growth 0-3%, FX headwind c.0.6%. H1 2026: +3% in local currency, -1% in DKK; Q3 trading: mid-single-digit LFL.</t>
        </r>
      </text>
    </comment>
    <comment ref="D29" authorId="0">
      <text>
        <r>
          <rPr>
            <sz val="10"/>
            <rFont val="Arial"/>
            <family val="2"/>
          </rPr>
          <t xml:space="preserve">FY2026 guidance raised to 22-23% on 12 Aug 2026, including c.100bp of one-off IEEPA tariff refund.</t>
        </r>
      </text>
    </comment>
    <comment ref="D34" authorId="0">
      <text>
        <r>
          <rPr>
            <sz val="10"/>
            <rFont val="Arial"/>
            <family val="2"/>
          </rPr>
          <t xml:space="preserve">FY2025: 1,466 / 32,549 = 4.5% (note 8, Q4 2025 report).</t>
        </r>
      </text>
    </comment>
    <comment ref="D35" authorId="0">
      <text>
        <r>
          <rPr>
            <sz val="10"/>
            <rFont val="Arial"/>
            <family val="2"/>
          </rPr>
          <t xml:space="preserve">FY2025: (1,260 + 422) / 32,549 = 5.2%; nudged up as the owned store network grows.</t>
        </r>
      </text>
    </comment>
    <comment ref="D36" authorId="0">
      <text>
        <r>
          <rPr>
            <sz val="10"/>
            <rFont val="Arial"/>
            <family val="2"/>
          </rPr>
          <t xml:space="preserve">FY2025: (2,586 - 1,466) / 32,549 = 3.4%.</t>
        </r>
      </text>
    </comment>
    <comment ref="D37" authorId="0">
      <text>
        <r>
          <rPr>
            <sz val="10"/>
            <rFont val="Arial"/>
            <family val="2"/>
          </rPr>
          <t xml:space="preserve">2026 guidance c.7% incl. c.DKK 400m of platinum-plating capacity; c.DKK 200m left for 2027. FY2025: 6.0%.</t>
        </r>
      </text>
    </comment>
    <comment ref="D38" authorId="0">
      <text>
        <r>
          <rPr>
            <sz val="10"/>
            <rFont val="Arial"/>
            <family val="2"/>
          </rPr>
          <t xml:space="preserve">FY2025: -1.1%; 30/06/2026: 3.1%. Management expects inventories notably higher in 2026 for the platinum transition, then back towards historical levels.</t>
        </r>
      </text>
    </comment>
    <comment ref="D39" authorId="0">
      <text>
        <r>
          <rPr>
            <sz val="10"/>
            <rFont val="Arial"/>
            <family val="2"/>
          </rPr>
          <t xml:space="preserve">2026 guidance c.25% (expiry of Thai tax incentives).</t>
        </r>
      </text>
    </comment>
    <comment ref="D40" authorId="0">
      <text>
        <r>
          <rPr>
            <sz val="10"/>
            <rFont val="Arial"/>
            <family val="2"/>
          </rPr>
          <t xml:space="preserve">2026 guidance DKK 1,100-1,150m, including c.DKK 110m cost of selling the US tariff-refund claim.</t>
        </r>
      </text>
    </comment>
    <comment ref="E29" authorId="0">
      <text>
        <r>
          <rPr>
            <sz val="10"/>
            <rFont val="Arial"/>
            <family val="2"/>
          </rPr>
          <t xml:space="preserve">Guidance (Feb 2026): at least 12% reported and 14% before one-offs, at silver USD 82/oz. 2027 is now 90-100% hedged at c.USD 65/oz, worth c.+200bp (Q2 2026 report). Base: 14.5% reported, i.e. c.16.5% before c.2pts of transition costs.</t>
        </r>
      </text>
    </comment>
    <comment ref="G29" authorId="0">
      <text>
        <r>
          <rPr>
            <sz val="10"/>
            <rFont val="Arial"/>
            <family val="2"/>
          </rPr>
          <t xml:space="preserve">Management mid-term ambition: EBIT margin above 21% once the platinum-plated transition is complete (2028).</t>
        </r>
      </text>
    </comment>
    <comment ref="I29" authorId="0">
      <text>
        <r>
          <rPr>
            <sz val="10"/>
            <rFont val="Arial"/>
            <family val="2"/>
          </rPr>
          <t xml:space="preserve">Our steady state: 23%, between the &gt;21% ambition and the c.25% achieved in 2022-2024 before the silver spike.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FY2024 and FY2025: Q4 2025 interim report, p.5 and p.29-32. H1 2025 and H1 2026: Q2 2026 interim report, p.5 and p.29-32.</t>
        </r>
      </text>
    </comment>
    <comment ref="C12" authorId="0">
      <text>
        <r>
          <rPr>
            <sz val="10"/>
            <rFont val="Arial"/>
            <family val="2"/>
          </rPr>
          <t xml:space="preserve">Right-of-use depreciation from note 8 Leases (Q4 2025) and note 7 Leases (Q2 2026).</t>
        </r>
      </text>
    </comment>
    <comment ref="C28" authorId="0">
      <text>
        <r>
          <rPr>
            <sz val="10"/>
            <rFont val="Arial"/>
            <family val="2"/>
          </rPr>
          <t xml:space="preserve">Company definition: operating cash flow before interest, less investing cash flow excl. acquisitions, less lease principal.</t>
        </r>
      </text>
    </comment>
    <comment ref="C33" authorId="0">
      <text>
        <r>
          <rPr>
            <sz val="10"/>
            <rFont val="Arial"/>
            <family val="2"/>
          </rPr>
          <t xml:space="preserve">NIBD note: non-current + current loans and borrowings excl. leases. FY24: 7,831 + 397. FY25: 7,729 + 1,627. H1 25: 7,767 + 3,020. H1 26: 9,184 + 1,076.</t>
        </r>
      </text>
    </comment>
    <comment ref="C35" authorId="0">
      <text>
        <r>
          <rPr>
            <sz val="10"/>
            <rFont val="Arial"/>
            <family val="2"/>
          </rPr>
          <t xml:space="preserve">Reported NIBD: 11,008 (FY24), 13,719 (FY25), 15,297 (H1 25), 15,643 (H1 26).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7" authorId="0">
      <text>
        <r>
          <rPr>
            <sz val="10"/>
            <rFont val="Arial"/>
            <family val="2"/>
          </rPr>
          <t xml:space="preserve">Share count held flat: buybacks are paused until the platinum transition is further progressed. Their resumption would be an upside to EPS.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H2 2026 cash flows arrive, on average, a quarter of a year after 30/06/2026.</t>
        </r>
      </text>
    </comment>
  </commentList>
</comments>
</file>

<file path=xl/sharedStrings.xml><?xml version="1.0" encoding="utf-8"?>
<sst xmlns="http://schemas.openxmlformats.org/spreadsheetml/2006/main" count="522" uniqueCount="330">
  <si>
    <t xml:space="preserve">Pandora A/S (PNDORA DC)</t>
  </si>
  <si>
    <t xml:space="preserve">Equity research model: DCF, trading comparables, scenarios, reverse DCF</t>
  </si>
  <si>
    <t xml:space="preserve">Author</t>
  </si>
  <si>
    <t xml:space="preserve">Lucile Engelaere, Master 1 CCA, IAE Lyon</t>
  </si>
  <si>
    <t xml:space="preserve">Model date</t>
  </si>
  <si>
    <t xml:space="preserve">11 September 2026</t>
  </si>
  <si>
    <t xml:space="preserve">Units</t>
  </si>
  <si>
    <t xml:space="preserve">DKK million unless stated; per-share data in DKK</t>
  </si>
  <si>
    <t xml:space="preserve">Last reported period</t>
  </si>
  <si>
    <t xml:space="preserve">H1 2026 (interim report published 12 August 2026)</t>
  </si>
  <si>
    <t xml:space="preserve">Key outputs</t>
  </si>
  <si>
    <t xml:space="preserve">Recommendation</t>
  </si>
  <si>
    <t xml:space="preserve">12-month target price (DKK)</t>
  </si>
  <si>
    <t xml:space="preserve">Share price (DKK)</t>
  </si>
  <si>
    <t xml:space="preserve">Upside to target</t>
  </si>
  <si>
    <t xml:space="preserve">Expected total return (incl. dividend)</t>
  </si>
  <si>
    <t xml:space="preserve">Active scenario</t>
  </si>
  <si>
    <t xml:space="preserve">Colour code</t>
  </si>
  <si>
    <t xml:space="preserve">1,234</t>
  </si>
  <si>
    <t xml:space="preserve">Blue: hard-coded input, source in the cell comment</t>
  </si>
  <si>
    <t xml:space="preserve">Black: formula</t>
  </si>
  <si>
    <t xml:space="preserve">Green: link to another sheet</t>
  </si>
  <si>
    <t xml:space="preserve">Yellow fill: key lever to test (scenario selector, WACC inputs, peer multiples)</t>
  </si>
  <si>
    <t xml:space="preserve">Structure</t>
  </si>
  <si>
    <t xml:space="preserve">Inputs</t>
  </si>
  <si>
    <t xml:space="preserve">Market data, scenario drivers (Bear / Base / Bull), operating and valuation assumptions</t>
  </si>
  <si>
    <t xml:space="preserve">Historicals</t>
  </si>
  <si>
    <t xml:space="preserve">FY2024A, FY2025A, H1 2025, H1 2026 and LTM, as reported; lease-adjusted FCFF</t>
  </si>
  <si>
    <t xml:space="preserve">Forecast</t>
  </si>
  <si>
    <t xml:space="preserve">P&amp;L and lease-adjusted free cash flow, 2026E to 2031E (active scenario)</t>
  </si>
  <si>
    <t xml:space="preserve">WACC</t>
  </si>
  <si>
    <t xml:space="preserve">CAPM cost of equity, after-tax cost of debt, WACC</t>
  </si>
  <si>
    <t xml:space="preserve">DCF</t>
  </si>
  <si>
    <t xml:space="preserve">Discounted FCFF, terminal value, equity bridge, two sensitivity tables</t>
  </si>
  <si>
    <t xml:space="preserve">Scenarios</t>
  </si>
  <si>
    <t xml:space="preserve">Bear / Base / Bull DCFs in parallel, plus reverse DCF (market-implied margin)</t>
  </si>
  <si>
    <t xml:space="preserve">Comps</t>
  </si>
  <si>
    <t xml:space="preserve">Trading comparables, value implied on 2028E and discounted one year</t>
  </si>
  <si>
    <t xml:space="preserve">Summary</t>
  </si>
  <si>
    <t xml:space="preserve">Football field, blended target price, rating rule</t>
  </si>
  <si>
    <t xml:space="preserve">Main sources</t>
  </si>
  <si>
    <t xml:space="preserve">Pandora, Interim Report Q2 2026, Company Announcement 1015 (12 August 2026)</t>
  </si>
  <si>
    <t xml:space="preserve">Pandora, Interim Report Q4 2025, Company Announcement 997 (4 February 2026)</t>
  </si>
  <si>
    <t xml:space="preserve">Pandora, Interim Report Q1 2026, Company Announcement 1012 (6 May 2026)</t>
  </si>
  <si>
    <t xml:space="preserve">Market data: Investing.com (price, beta, broker targets, shareholders), Trading Economics (Bund yield)</t>
  </si>
  <si>
    <t xml:space="preserve">Peer multiples: GuruFocus, StockAnalysis, Seeking Alpha, ChartRow (indicative; refresh on Bloomberg)</t>
  </si>
  <si>
    <t xml:space="preserve">Academic exercise prepared for a master's application. Not investment advice.</t>
  </si>
  <si>
    <t xml:space="preserve">Inputs and assumptions</t>
  </si>
  <si>
    <t xml:space="preserve">Hard-coded numbers in blue, sourced in cell comments</t>
  </si>
  <si>
    <t xml:space="preserve">Market data</t>
  </si>
  <si>
    <t xml:space="preserve">Shares outstanding (m)</t>
  </si>
  <si>
    <t xml:space="preserve">Market capitalisation (DKKm)</t>
  </si>
  <si>
    <t xml:space="preserve">Net debt excl. leases, 30/06/2026 (DKKm)</t>
  </si>
  <si>
    <t xml:space="preserve">Lease liabilities, 30/06/2026 (DKKm)</t>
  </si>
  <si>
    <t xml:space="preserve">NIBD incl. leases, 30/06/2026 (DKKm)</t>
  </si>
  <si>
    <t xml:space="preserve">Enterprise value incl. leases (DKKm)</t>
  </si>
  <si>
    <t xml:space="preserve">Next 12m dividend per share (DKK)</t>
  </si>
  <si>
    <t xml:space="preserve">52-week low / high (DKK)</t>
  </si>
  <si>
    <t xml:space="preserve">Broker targets: low / consensus / high (DKK)</t>
  </si>
  <si>
    <t xml:space="preserve">Scenario selector</t>
  </si>
  <si>
    <t xml:space="preserve">Selector: 1 = Bear, 2 = Base, 3 = Bull (change this cell)</t>
  </si>
  <si>
    <t xml:space="preserve">Scenario drivers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</si>
  <si>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</si>
  <si>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</si>
  <si>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</si>
  <si>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</si>
  <si>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</si>
  <si>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</si>
  <si>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Revenue growth in DKK (%)</t>
  </si>
  <si>
    <t xml:space="preserve">   Bear</t>
  </si>
  <si>
    <t xml:space="preserve">Bear: platinum-plated range under-delivers, LFL stays negative in EMEA and North America</t>
  </si>
  <si>
    <t xml:space="preserve">   Base</t>
  </si>
  <si>
    <t xml:space="preserve">Base: 2026 in line with the upgraded guidance (0-3% organic, FX c.-0.6%); LFL recovery from 2027</t>
  </si>
  <si>
    <t xml:space="preserve">   Bull</t>
  </si>
  <si>
    <t xml:space="preserve">Bull: the design reset works, LFL back to 4-6% plus 2-3% from network expansion</t>
  </si>
  <si>
    <t xml:space="preserve">   Active</t>
  </si>
  <si>
    <t xml:space="preserve">EBIT margin, reported (%)</t>
  </si>
  <si>
    <t xml:space="preserve">Bear: 2027 near the guidance floor; steady state 18% (silver stays high, plating needs price cuts)</t>
  </si>
  <si>
    <t xml:space="preserve">Base: 2027 trough, then recovery above the &gt;21% ambition as the silver exposure falls</t>
  </si>
  <si>
    <t xml:space="preserve">Bull: margin back to the pre-2025 level of c.25%</t>
  </si>
  <si>
    <t xml:space="preserve">Common operating assumptions</t>
  </si>
  <si>
    <t xml:space="preserve">Right-of-use depreciation (% revenue)</t>
  </si>
  <si>
    <t xml:space="preserve">Lease payments, principal + interest (% revenue)</t>
  </si>
  <si>
    <t xml:space="preserve">Other D&amp;A, PP&amp;E and intangibles (% revenue)</t>
  </si>
  <si>
    <t xml:space="preserve">Capex (% revenue)</t>
  </si>
  <si>
    <t xml:space="preserve">NWC excl. derivatives, year-end (% revenue)</t>
  </si>
  <si>
    <t xml:space="preserve">Effective tax rate (%)</t>
  </si>
  <si>
    <t xml:space="preserve">Net financial expenses, IFRS 16 basis (DKKm)</t>
  </si>
  <si>
    <t xml:space="preserve">Valuation assumptions</t>
  </si>
  <si>
    <t xml:space="preserve">Risk-free rate</t>
  </si>
  <si>
    <t xml:space="preserve">Equity risk premium</t>
  </si>
  <si>
    <t xml:space="preserve">Levered beta</t>
  </si>
  <si>
    <t xml:space="preserve">Pre-tax cost of debt</t>
  </si>
  <si>
    <t xml:space="preserve">Target debt / (debt + equity)</t>
  </si>
  <si>
    <t xml:space="preserve">Terminal growth rate</t>
  </si>
  <si>
    <t xml:space="preserve">Tax rate used for the cost of debt</t>
  </si>
  <si>
    <t xml:space="preserve">Target price weighting and rating rule</t>
  </si>
  <si>
    <t xml:space="preserve">Weight: DCF (active scenario)</t>
  </si>
  <si>
    <t xml:space="preserve">Weight: P/E comparables</t>
  </si>
  <si>
    <t xml:space="preserve">Weight: EV/EBITDA comparables</t>
  </si>
  <si>
    <t xml:space="preserve">Check (must equal 100%)</t>
  </si>
  <si>
    <t xml:space="preserve">BUY if expected total return is at least</t>
  </si>
  <si>
    <t xml:space="preserve">SELL if expected total return is at most</t>
  </si>
  <si>
    <t xml:space="preserve">Data provenance (updated 14 September 2026)</t>
  </si>
  <si>
    <t xml:space="preserve">Item</t>
  </si>
  <si>
    <t xml:space="preserve">Source</t>
  </si>
  <si>
    <t xml:space="preserve">Status</t>
  </si>
  <si>
    <t xml:space="preserve">Company financials and guidance</t>
  </si>
  <si>
    <t xml:space="preserve">Pandora interim reports Q4 2025, Q1 2026, Q2 2026</t>
  </si>
  <si>
    <t xml:space="preserve">Primary source</t>
  </si>
  <si>
    <t xml:space="preserve">Signet, Tapestry, Ralph Lauren multiples and betas</t>
  </si>
  <si>
    <t xml:space="preserve">Alpha Vantage COMPANY_OVERVIEW, 14/09/2026</t>
  </si>
  <si>
    <t xml:space="preserve">Sourced</t>
  </si>
  <si>
    <t xml:space="preserve">Equity risk premium reference (Denmark 4.23%)</t>
  </si>
  <si>
    <t xml:space="preserve">FMP market-risk-premium, 14/09/2026</t>
  </si>
  <si>
    <t xml:space="preserve">Sourced, not applied</t>
  </si>
  <si>
    <t xml:space="preserve">Silver and gold spot (USD 63.3 and 4,313/oz)</t>
  </si>
  <si>
    <t xml:space="preserve">Alpha Vantage GOLD_SILVER_SPOT, 14/09/2026</t>
  </si>
  <si>
    <t xml:space="preserve">Richemont and Chow Tai Fook multiples</t>
  </si>
  <si>
    <t xml:space="preserve">Public screens; outside free API coverage</t>
  </si>
  <si>
    <t xml:space="preserve">TO VERIFY</t>
  </si>
  <si>
    <t xml:space="preserve">Pandora share price and broker targets</t>
  </si>
  <si>
    <t xml:space="preserve">Investing.com; free sources disagree</t>
  </si>
  <si>
    <t xml:space="preserve">Risk-free rate (10y Bund 3.25%)</t>
  </si>
  <si>
    <t xml:space="preserve">Trading Economics, August 2026</t>
  </si>
  <si>
    <t xml:space="preserve">TO REFRESH</t>
  </si>
  <si>
    <t xml:space="preserve">Historical financials, as reported</t>
  </si>
  <si>
    <t xml:space="preserve">Sources: Pandora interim reports Q4 2025 (4 Feb 2026) and Q2 2026 (12 Aug 2026). DKK million.</t>
  </si>
  <si>
    <t xml:space="preserve">Income statement</t>
  </si>
  <si>
    <t xml:space="preserve">FY2024A</t>
  </si>
  <si>
    <t xml:space="preserve">FY2025A</t>
  </si>
  <si>
    <t xml:space="preserve">H1 2025</t>
  </si>
  <si>
    <t xml:space="preserve">H1 2026</t>
  </si>
  <si>
    <t xml:space="preserve">LTM Jun-26</t>
  </si>
  <si>
    <t xml:space="preserve">Revenue</t>
  </si>
  <si>
    <t xml:space="preserve">Organic growth (%)</t>
  </si>
  <si>
    <t xml:space="preserve">Like-for-like growth (%)</t>
  </si>
  <si>
    <t xml:space="preserve">Gross profit</t>
  </si>
  <si>
    <t xml:space="preserve">Gross margin (%)</t>
  </si>
  <si>
    <t xml:space="preserve">EBITDA (IFRS 16)</t>
  </si>
  <si>
    <t xml:space="preserve">EBITDA margin (%)</t>
  </si>
  <si>
    <t xml:space="preserve">   of which right-of-use depreciation</t>
  </si>
  <si>
    <t xml:space="preserve">   of which other D&amp;A</t>
  </si>
  <si>
    <t xml:space="preserve">EBIT</t>
  </si>
  <si>
    <t xml:space="preserve">EBIT margin (%)</t>
  </si>
  <si>
    <t xml:space="preserve">FY2025 EBIT margin 23.9% vs 25.2% in FY2024: c.300bp of commodity, FX and tariff headwinds, partly offset.</t>
  </si>
  <si>
    <t xml:space="preserve">Net financials</t>
  </si>
  <si>
    <t xml:space="preserve">H1 2026 EBIT includes a DKK 180m one-off gain (partial refund of US IEEPA tariffs).</t>
  </si>
  <si>
    <t xml:space="preserve">Profit before tax</t>
  </si>
  <si>
    <t xml:space="preserve">Income tax</t>
  </si>
  <si>
    <t xml:space="preserve">Net profit</t>
  </si>
  <si>
    <t xml:space="preserve">EPS, basic (DKK)</t>
  </si>
  <si>
    <t xml:space="preserve">Dividend per share for the financial year (DKK)</t>
  </si>
  <si>
    <t xml:space="preserve">Cash flow and balance sheet items</t>
  </si>
  <si>
    <t xml:space="preserve">Capex, total</t>
  </si>
  <si>
    <t xml:space="preserve">Lease repayments (principal)</t>
  </si>
  <si>
    <t xml:space="preserve">Lease interest paid</t>
  </si>
  <si>
    <t xml:space="preserve">Free cash flow incl. lease payments (company definition)</t>
  </si>
  <si>
    <t xml:space="preserve">NWC excl. derivatives, end of period</t>
  </si>
  <si>
    <t xml:space="preserve">Net debt excl. leases</t>
  </si>
  <si>
    <t xml:space="preserve">Lease liabilities</t>
  </si>
  <si>
    <t xml:space="preserve">Loans and borrowings excl. leases</t>
  </si>
  <si>
    <t xml:space="preserve">Cash</t>
  </si>
  <si>
    <t xml:space="preserve">NIBD incl. leases (ties to reported NIBD)</t>
  </si>
  <si>
    <t xml:space="preserve">NIBD / EBITDA (x)</t>
  </si>
  <si>
    <t xml:space="preserve">Unlevered free cash flow, model definition (lease-adjusted)</t>
  </si>
  <si>
    <t xml:space="preserve">Leases are treated as operating costs (EBIT + ROU depreciation - lease cash payments).</t>
  </si>
  <si>
    <t xml:space="preserve">+ Right-of-use depreciation</t>
  </si>
  <si>
    <t xml:space="preserve">Consistency: net debt in the equity bridge therefore EXCLUDES lease liabilities.</t>
  </si>
  <si>
    <t xml:space="preserve">- Lease payments (principal + interest)</t>
  </si>
  <si>
    <t xml:space="preserve">FY2025A FCFF c.4.8bn vs company FCF incl. leases of 5.0bn (which does not deduct lease interest): consistent.</t>
  </si>
  <si>
    <t xml:space="preserve">EBIT after leases</t>
  </si>
  <si>
    <t xml:space="preserve">H1 2026 FCFF is deducted from FY2026E so that only H2 2026 is discounted from 30/06/2026.</t>
  </si>
  <si>
    <t xml:space="preserve">- Tax on EBIT after leases</t>
  </si>
  <si>
    <t xml:space="preserve">+ Other D&amp;A</t>
  </si>
  <si>
    <t xml:space="preserve">- Capex</t>
  </si>
  <si>
    <t xml:space="preserve">- Increase in NWC excl. derivatives</t>
  </si>
  <si>
    <t xml:space="preserve">Unlevered free cash flow (FCFF)</t>
  </si>
  <si>
    <t xml:space="preserve">Forecast: P&amp;L and free cash flow (active scenario)</t>
  </si>
  <si>
    <t xml:space="preserve">DKK million. Drivers from Inputs; 2025A column from Historicals.</t>
  </si>
  <si>
    <t xml:space="preserve">2025A</t>
  </si>
  <si>
    <t xml:space="preserve">   growth (%)</t>
  </si>
  <si>
    <t xml:space="preserve">Right-of-use depreciation</t>
  </si>
  <si>
    <t xml:space="preserve">Other D&amp;A</t>
  </si>
  <si>
    <t xml:space="preserve">   EBITDA margin (%)</t>
  </si>
  <si>
    <t xml:space="preserve">Net financial expenses</t>
  </si>
  <si>
    <t xml:space="preserve">EPS (DKK)</t>
  </si>
  <si>
    <t xml:space="preserve">   EPS growth (%)</t>
  </si>
  <si>
    <t xml:space="preserve">Lease-adjusted unlevered free cash flow</t>
  </si>
  <si>
    <t xml:space="preserve">NOPAT</t>
  </si>
  <si>
    <t xml:space="preserve">NWC excl. derivatives (year-end level)</t>
  </si>
  <si>
    <t xml:space="preserve">- Increase in NWC</t>
  </si>
  <si>
    <t xml:space="preserve">   FCFF / revenue (%)</t>
  </si>
  <si>
    <t xml:space="preserve">Memo and multiples at the current share price</t>
  </si>
  <si>
    <t xml:space="preserve">EBITDA after leases (EBITDAaL)</t>
  </si>
  <si>
    <t xml:space="preserve">P/E (x)</t>
  </si>
  <si>
    <t xml:space="preserve">EV incl. leases / EBITDA IFRS 16 (x)</t>
  </si>
  <si>
    <t xml:space="preserve">FCFF yield on EV excl. leases (%)</t>
  </si>
  <si>
    <t xml:space="preserve">Dividend yield at DKK 22 (%)</t>
  </si>
  <si>
    <t xml:space="preserve">Weighted average cost of capital</t>
  </si>
  <si>
    <t xml:space="preserve">CAPM for equity. Lease liabilities excluded from debt, consistent with lease-adjusted FCFF.</t>
  </si>
  <si>
    <t xml:space="preserve">Cost of equity, Ke = Rf + beta x ERP</t>
  </si>
  <si>
    <t xml:space="preserve">A beta above 1 reflects discretionary spending and commodity exposure.</t>
  </si>
  <si>
    <t xml:space="preserve">Tax rate</t>
  </si>
  <si>
    <t xml:space="preserve">After-tax cost of debt</t>
  </si>
  <si>
    <t xml:space="preserve">Weight of debt, D/(D+E)</t>
  </si>
  <si>
    <t xml:space="preserve">Weight of equity, E/(D+E)</t>
  </si>
  <si>
    <t xml:space="preserve">WACC close to 9% is prudent for a business with a c.40% ROIC; see the DCF sensitivity tables.</t>
  </si>
  <si>
    <t xml:space="preserve">Memo: current market D/(D+E), net debt excl. leases</t>
  </si>
  <si>
    <t xml:space="preserve">Discounted cash flow (active scenario)</t>
  </si>
  <si>
    <t xml:space="preserve">Valuation date 30/06/2026 (last balance sheet); mid-period discounting</t>
  </si>
  <si>
    <t xml:space="preserve">Free cash flow to the firm</t>
  </si>
  <si>
    <t xml:space="preserve">FCFF (Forecast)</t>
  </si>
  <si>
    <t xml:space="preserve">Less: FCFF already generated in H1 2026</t>
  </si>
  <si>
    <t xml:space="preserve">FCFF to discount</t>
  </si>
  <si>
    <t xml:space="preserve">Discount period, years from 30/06/2026 (mid-period)</t>
  </si>
  <si>
    <t xml:space="preserve">Discount factor at WACC</t>
  </si>
  <si>
    <t xml:space="preserve">Present value of FCFF</t>
  </si>
  <si>
    <t xml:space="preserve">From enterprise value to value per share</t>
  </si>
  <si>
    <t xml:space="preserve">Sum of PV of FCFF (H2 2026 to 2031E)</t>
  </si>
  <si>
    <t xml:space="preserve">Terminal-year FCFF x (1 + g)</t>
  </si>
  <si>
    <t xml:space="preserve">Terminal value at end-2031 (Gordon growth)</t>
  </si>
  <si>
    <t xml:space="preserve">Terminal value discount period (years)</t>
  </si>
  <si>
    <t xml:space="preserve">PV of terminal value</t>
  </si>
  <si>
    <t xml:space="preserve">Enterprise value (excl. leases)</t>
  </si>
  <si>
    <t xml:space="preserve">   Terminal value as % of EV</t>
  </si>
  <si>
    <t xml:space="preserve">Less: net debt excl. leases (30/06/2026)</t>
  </si>
  <si>
    <t xml:space="preserve">Equity value</t>
  </si>
  <si>
    <t xml:space="preserve">DCF value per share (DKK)</t>
  </si>
  <si>
    <t xml:space="preserve">Upside vs current share price</t>
  </si>
  <si>
    <t xml:space="preserve">Sanity check: terminal value / 2031E EBITDA after leases (x)</t>
  </si>
  <si>
    <t xml:space="preserve">Sanity check: DCF value / 2028E EPS (x)</t>
  </si>
  <si>
    <t xml:space="preserve">Sensitivity 1: value per share (DKK), WACC (rows) vs terminal growth (columns)</t>
  </si>
  <si>
    <t xml:space="preserve">Sensitivity 2: value per share (DKK), WACC (rows) vs steady-state EBIT margin (columns)</t>
  </si>
  <si>
    <t xml:space="preserve">Sensitivity 2 changes the 2031E margin (and therefore the terminal value); 2026E-2030E are unchanged.</t>
  </si>
  <si>
    <t xml:space="preserve">Scenario DCFs in parallel, and reverse DCF</t>
  </si>
  <si>
    <t xml:space="preserve">Same mechanics as the DCF tab; only the growth and margin paths change</t>
  </si>
  <si>
    <t xml:space="preserve">Bear case</t>
  </si>
  <si>
    <t xml:space="preserve">Revenue growth</t>
  </si>
  <si>
    <t xml:space="preserve">EBIT margin</t>
  </si>
  <si>
    <t xml:space="preserve">NWC level</t>
  </si>
  <si>
    <t xml:space="preserve">FCFF</t>
  </si>
  <si>
    <t xml:space="preserve">FCFF to discount (H1 2026 deducted)</t>
  </si>
  <si>
    <t xml:space="preserve">PV of FCFF</t>
  </si>
  <si>
    <t xml:space="preserve">Enterprise value (sum of PV + PV of terminal value)</t>
  </si>
  <si>
    <t xml:space="preserve">Value per share (DKK)</t>
  </si>
  <si>
    <t xml:space="preserve">Base case</t>
  </si>
  <si>
    <t xml:space="preserve">Bull case</t>
  </si>
  <si>
    <t xml:space="preserve">Check: Base block minus DCF tab when selector = 2 (must be 0)</t>
  </si>
  <si>
    <t xml:space="preserve">Reverse DCF: which steady-state EBIT margin does the share price imply?</t>
  </si>
  <si>
    <t xml:space="preserve">Test margin A, applied to 2029E-2031E and terminal</t>
  </si>
  <si>
    <t xml:space="preserve">Test margin B, applied to 2029E-2031E and terminal</t>
  </si>
  <si>
    <t xml:space="preserve">Base-case growth and 2026E-2028E margins are kept; only the steady-state margin changes.</t>
  </si>
  <si>
    <t xml:space="preserve">Reverse DCF, test A</t>
  </si>
  <si>
    <t xml:space="preserve">Reverse DCF, test B</t>
  </si>
  <si>
    <t xml:space="preserve">Market-implied steady-state EBIT margin</t>
  </si>
  <si>
    <t xml:space="preserve">Value per share is linear in the margin, so interpolating between two test margins is exact.</t>
  </si>
  <si>
    <t xml:space="preserve">Trading comparables</t>
  </si>
  <si>
    <t xml:space="preserve">Multiples pulled on 14/09/2026 where a data feed covers the stock; otherwise flagged. Refresh on Bloomberg before submission.</t>
  </si>
  <si>
    <t xml:space="preserve">Peer group</t>
  </si>
  <si>
    <t xml:space="preserve">Company</t>
  </si>
  <si>
    <t xml:space="preserve">Ticker</t>
  </si>
  <si>
    <t xml:space="preserve">Positioning</t>
  </si>
  <si>
    <t xml:space="preserve">NTM P/E (x)</t>
  </si>
  <si>
    <t xml:space="preserve">EV/EBITDA (x)</t>
  </si>
  <si>
    <t xml:space="preserve">Beta</t>
  </si>
  <si>
    <t xml:space="preserve">Signet Jewelers</t>
  </si>
  <si>
    <t xml:space="preserve">SIG US</t>
  </si>
  <si>
    <t xml:space="preserve">US jewellery retail, mid-market</t>
  </si>
  <si>
    <t xml:space="preserve">SOURCED. Alpha Vantage COMPANY_OVERVIEW 14/09/2026: forward P/E 8.02x, EV/EBITDA 6.91x, beta 1.111. Last quarter 31/07/2026.</t>
  </si>
  <si>
    <t xml:space="preserve">Tapestry</t>
  </si>
  <si>
    <t xml:space="preserve">TPR US</t>
  </si>
  <si>
    <t xml:space="preserve">Accessible luxury (Coach, Kate Spade)</t>
  </si>
  <si>
    <t xml:space="preserve">SOURCED. Alpha Vantage 14/09/2026: forward P/E 14.93x, EV/EBITDA 12.39x, beta 1.432. FY to June 2026.</t>
  </si>
  <si>
    <t xml:space="preserve">Ralph Lauren</t>
  </si>
  <si>
    <t xml:space="preserve">RL US</t>
  </si>
  <si>
    <t xml:space="preserve">Accessible-to-premium lifestyle brand, global retail</t>
  </si>
  <si>
    <t xml:space="preserve">SOURCED. Alpha Vantage 14/09/2026: forward P/E 18.02x, EV/EBITDA 13.86x, beta 1.353. FY to March.</t>
  </si>
  <si>
    <t xml:space="preserve">Chow Tai Fook</t>
  </si>
  <si>
    <t xml:space="preserve">1929 HK</t>
  </si>
  <si>
    <t xml:space="preserve">Asian jewellery brand, vertically integrated</t>
  </si>
  <si>
    <t xml:space="preserve">n.a.</t>
  </si>
  <si>
    <t xml:space="preserve">NOT SOURCED. Hong Kong listing outside free feed coverage. StockAnalysis fwd P/E (Aug 2026), Seeking Alpha fwd EV/EBITDA c.7.4x (early 2026). VERIFY.</t>
  </si>
  <si>
    <t xml:space="preserve">Richemont</t>
  </si>
  <si>
    <t xml:space="preserve">CFR SW</t>
  </si>
  <si>
    <t xml:space="preserve">Hard-luxury reference (Cartier, Van Cleef)</t>
  </si>
  <si>
    <t xml:space="preserve">NOT SOURCED. Swiss listing outside free feed coverage. Own estimates from LTM EBITDA c.EUR 5.8bn and net cash c.EUR 8.5bn. VERIFY.</t>
  </si>
  <si>
    <t xml:space="preserve">Lower quartile</t>
  </si>
  <si>
    <t xml:space="preserve">Median</t>
  </si>
  <si>
    <t xml:space="preserve">Upper quartile</t>
  </si>
  <si>
    <t xml:space="preserve">Screened via Alpha Vantage and excluded: Brilliant Earth (negative EBITDA), Capri Holdings (fwd P/E 6.5x vs EV/EBITDA 14.2x, distorted by disposals) and Movado (wholesale watch distributor, 9% operating margin, USD 0.7bn cap: a different business model).</t>
  </si>
  <si>
    <t xml:space="preserve">Selection rule: brand-owned retail or jewellery category. Peer betas (median of the sourced names) support the 1.20 used for Pandora in the WACC tab.</t>
  </si>
  <si>
    <t xml:space="preserve">Pandora at the current share price</t>
  </si>
  <si>
    <t xml:space="preserve">2027E is the transition trough (platinum one-offs, silver cost at c.USD 65/oz), so 2027E multiples look inflated.</t>
  </si>
  <si>
    <t xml:space="preserve">Implied value per share: peer multiple x Pandora 2028E, discounted one year at the cost of equity</t>
  </si>
  <si>
    <t xml:space="preserve">Low (Q1)</t>
  </si>
  <si>
    <t xml:space="preserve">High (Q3)</t>
  </si>
  <si>
    <t xml:space="preserve">Pandora EPS 2028E (DKK)</t>
  </si>
  <si>
    <t xml:space="preserve">Pandora EBITDA after leases 2028E (DKKm)</t>
  </si>
  <si>
    <t xml:space="preserve">Cost of equity</t>
  </si>
  <si>
    <t xml:space="preserve">P/E method (DKK per share)</t>
  </si>
  <si>
    <t xml:space="preserve">EV/EBITDA method (DKK per share)</t>
  </si>
  <si>
    <t xml:space="preserve">Why 2028E: first clean year after the silver-to-platinum transition.</t>
  </si>
  <si>
    <t xml:space="preserve">Lease basis: peers report under US GAAP where store rents sit above EBITDA, so their multiples are applied to Pandora EBITDA AFTER lease payments, with net debt EXCLUDING lease liabilities. Like-for-like on both sides.</t>
  </si>
  <si>
    <t xml:space="preserve">Valuation summary and recommendation</t>
  </si>
  <si>
    <t xml:space="preserve">Football field (DKK per share) and blended 12-month target price</t>
  </si>
  <si>
    <t xml:space="preserve">Football field</t>
  </si>
  <si>
    <t xml:space="preserve">Low</t>
  </si>
  <si>
    <t xml:space="preserve">Mid</t>
  </si>
  <si>
    <t xml:space="preserve">High</t>
  </si>
  <si>
    <t xml:space="preserve">High - Low</t>
  </si>
  <si>
    <t xml:space="preserve">DCF (Bear / active scenario / Bull)</t>
  </si>
  <si>
    <t xml:space="preserve">P/E comparables on 2028E</t>
  </si>
  <si>
    <t xml:space="preserve">EV/EBITDA comparables on 2028E</t>
  </si>
  <si>
    <t xml:space="preserve">Broker targets (Aug-Sep 2026)</t>
  </si>
  <si>
    <t xml:space="preserve">52-week trading range</t>
  </si>
  <si>
    <t xml:space="preserve">Current share price</t>
  </si>
  <si>
    <t xml:space="preserve">Target price</t>
  </si>
  <si>
    <t xml:space="preserve">Weight</t>
  </si>
  <si>
    <t xml:space="preserve">Value</t>
  </si>
  <si>
    <t xml:space="preserve">DCF, active scenario</t>
  </si>
  <si>
    <t xml:space="preserve">P/E comparables, median</t>
  </si>
  <si>
    <t xml:space="preserve">EV/EBITDA comparables, median</t>
  </si>
  <si>
    <t xml:space="preserve">12-month target price, rounded to DKK 10</t>
  </si>
  <si>
    <t xml:space="preserve">Dividend yield, next 12 months</t>
  </si>
  <si>
    <t xml:space="preserve">Expected total shareholder return</t>
  </si>
  <si>
    <t xml:space="preserve">Market-implied steady-state EBIT margin (reverse DCF)</t>
  </si>
  <si>
    <t xml:space="preserve">Base-case steady-state EBIT margin (2031E)</t>
  </si>
  <si>
    <t xml:space="preserve">Management mid-term ambition</t>
  </si>
  <si>
    <t xml:space="preserve">&gt;21%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</si>
</sst>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"/>
    <numFmt numFmtId="167" formatCode="0.0%;\(0.0%\);\-"/>
    <numFmt numFmtId="168" formatCode="#,##0.0;\(#,##0.0\);\-"/>
    <numFmt numFmtId="169" formatCode="0.00"/>
    <numFmt numFmtId="170" formatCode="0.0\x"/>
    <numFmt numFmtId="171" formatCode="0.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10"/>
      <name val="Arial"/>
      <family val="2"/>
    </font>
    <font>
      <i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Football field (DKK per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Summary!C5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Summary!$B$6:$B$10</c:f>
              <c:strCache>
                <c:ptCount val="5"/>
                <c:pt idx="0">
                  <c:v>DCF (Bear / active scenario / Bull)</c:v>
                </c:pt>
                <c:pt idx="1">
                  <c:v>P/E comparables on 2028E</c:v>
                </c:pt>
                <c:pt idx="2">
                  <c:v>EV/EBITDA comparables on 2028E</c:v>
                </c:pt>
                <c:pt idx="3">
                  <c:v>Broker targets (Aug-Sep 2026)</c:v>
                </c:pt>
                <c:pt idx="4">
                  <c:v>52-week trading range</c:v>
                </c:pt>
              </c:strCache>
            </c:strRef>
          </c:cat>
          <c:val>
            <c:numRef>
              <c:f>Summary!$C$6:$C$10</c:f>
              <c:numCache>
                <c:formatCode>#,##0;\(#,##0\);\-</c:formatCode>
                <c:ptCount val="5"/>
                <c:pt idx="0">
                  <c:v>594.274002479212</c:v>
                </c:pt>
                <c:pt idx="1">
                  <c:v>681.292378303265</c:v>
                </c:pt>
                <c:pt idx="2">
                  <c:v>618.784722288736</c:v>
                </c:pt>
                <c:pt idx="3">
                  <c:v>730</c:v>
                </c:pt>
                <c:pt idx="4">
                  <c:v>430</c:v>
                </c:pt>
              </c:numCache>
            </c:numRef>
          </c:val>
        </c:ser>
        <c:ser>
          <c:idx val="1"/>
          <c:order val="1"/>
          <c:tx>
            <c:strRef>
              <c:f>Summary!F5</c:f>
              <c:strCache>
                <c:ptCount val="1"/>
                <c:pt idx="0">
                  <c:v>High - Low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Summary!$B$6:$B$10</c:f>
              <c:strCache>
                <c:ptCount val="5"/>
                <c:pt idx="0">
                  <c:v>DCF (Bear / active scenario / Bull)</c:v>
                </c:pt>
                <c:pt idx="1">
                  <c:v>P/E comparables on 2028E</c:v>
                </c:pt>
                <c:pt idx="2">
                  <c:v>EV/EBITDA comparables on 2028E</c:v>
                </c:pt>
                <c:pt idx="3">
                  <c:v>Broker targets (Aug-Sep 2026)</c:v>
                </c:pt>
                <c:pt idx="4">
                  <c:v>52-week trading range</c:v>
                </c:pt>
              </c:strCache>
            </c:strRef>
          </c:cat>
          <c:val>
            <c:numRef>
              <c:f>Summary!$F$6:$F$10</c:f>
              <c:numCache>
                <c:formatCode>#,##0;\(#,##0\);\-</c:formatCode>
                <c:ptCount val="5"/>
                <c:pt idx="0">
                  <c:v>530.786510397538</c:v>
                </c:pt>
                <c:pt idx="1">
                  <c:v>315.720858238098</c:v>
                </c:pt>
                <c:pt idx="2">
                  <c:v>625.10832219408</c:v>
                </c:pt>
                <c:pt idx="3">
                  <c:v>170</c:v>
                </c:pt>
                <c:pt idx="4">
                  <c:v>474.4</c:v>
                </c:pt>
              </c:numCache>
            </c:numRef>
          </c:val>
        </c:ser>
        <c:gapWidth val="150"/>
        <c:overlap val="100"/>
        <c:axId val="80420470"/>
        <c:axId val="54922976"/>
      </c:barChart>
      <c:catAx>
        <c:axId val="8042047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22976"/>
        <c:crosses val="autoZero"/>
        <c:auto val="1"/>
        <c:lblAlgn val="ctr"/>
        <c:lblOffset val="100"/>
        <c:noMultiLvlLbl val="0"/>
      </c:catAx>
      <c:valAx>
        <c:axId val="54922976"/>
        <c:scaling>
          <c:orientation val="minMax"/>
          <c:max val="1500"/>
          <c:min val="3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20470"/>
        <c:crosses val="autoZero"/>
        <c:crossBetween val="between"/>
        <c:majorUnit val="10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160920</xdr:rowOff>
    </xdr:from>
    <xdr:to>
      <xdr:col>5</xdr:col>
      <xdr:colOff>417960</xdr:colOff>
      <xdr:row>42</xdr:row>
      <xdr:rowOff>182880</xdr:rowOff>
    </xdr:to>
    <xdr:graphicFrame>
      <xdr:nvGraphicFramePr>
        <xdr:cNvPr id="0" name="Chart 1"/>
        <xdr:cNvGraphicFramePr/>
      </xdr:nvGraphicFramePr>
      <xdr:xfrm>
        <a:off x="141120" y="5334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3" t="s">
        <v>4</v>
      </c>
      <c r="C6" s="3" t="s">
        <v>5</v>
      </c>
    </row>
    <row r="7" customFormat="false" ht="15" hidden="false" customHeight="false" outlineLevel="0" collapsed="false">
      <c r="B7" s="3" t="s">
        <v>6</v>
      </c>
      <c r="C7" s="3" t="s">
        <v>7</v>
      </c>
    </row>
    <row r="8" customFormat="false" ht="15" hidden="false" customHeight="false" outlineLevel="0" collapsed="false">
      <c r="B8" s="3" t="s">
        <v>8</v>
      </c>
      <c r="C8" s="3" t="s">
        <v>9</v>
      </c>
    </row>
    <row r="10" customFormat="false" ht="15" hidden="false" customHeight="false" outlineLevel="0" collapsed="false">
      <c r="A10" s="4"/>
      <c r="B10" s="5" t="s">
        <v>10</v>
      </c>
      <c r="C10" s="4"/>
    </row>
    <row r="11" customFormat="false" ht="15" hidden="false" customHeight="false" outlineLevel="0" collapsed="false">
      <c r="B11" s="3" t="s">
        <v>11</v>
      </c>
      <c r="C11" s="6" t="str">
        <f aca="false">Summary!D22</f>
        <v>BUY</v>
      </c>
    </row>
    <row r="12" customFormat="false" ht="15" hidden="false" customHeight="false" outlineLevel="0" collapsed="false">
      <c r="B12" s="3" t="s">
        <v>12</v>
      </c>
      <c r="C12" s="7" t="n">
        <f aca="false">Summary!D17</f>
        <v>950</v>
      </c>
    </row>
    <row r="13" customFormat="false" ht="15" hidden="false" customHeight="false" outlineLevel="0" collapsed="false">
      <c r="B13" s="3" t="s">
        <v>13</v>
      </c>
      <c r="C13" s="8" t="n">
        <f aca="false">Inputs!C5</f>
        <v>827.4</v>
      </c>
    </row>
    <row r="14" customFormat="false" ht="15" hidden="false" customHeight="false" outlineLevel="0" collapsed="false">
      <c r="B14" s="3" t="s">
        <v>14</v>
      </c>
      <c r="C14" s="9" t="n">
        <f aca="false">Summary!D18</f>
        <v>0.148175006043026</v>
      </c>
    </row>
    <row r="15" customFormat="false" ht="15" hidden="false" customHeight="false" outlineLevel="0" collapsed="false">
      <c r="B15" s="3" t="s">
        <v>15</v>
      </c>
      <c r="C15" s="9" t="n">
        <f aca="false">Summary!D20</f>
        <v>0.174764321972444</v>
      </c>
    </row>
    <row r="16" customFormat="false" ht="15" hidden="false" customHeight="false" outlineLevel="0" collapsed="false">
      <c r="B16" s="3" t="s">
        <v>16</v>
      </c>
      <c r="C16" s="10" t="str">
        <f aca="false">Inputs!C17</f>
        <v>Base</v>
      </c>
    </row>
    <row r="18" customFormat="false" ht="15" hidden="false" customHeight="false" outlineLevel="0" collapsed="false">
      <c r="A18" s="4"/>
      <c r="B18" s="5" t="s">
        <v>17</v>
      </c>
      <c r="C18" s="4"/>
    </row>
    <row r="19" customFormat="false" ht="15" hidden="false" customHeight="false" outlineLevel="0" collapsed="false">
      <c r="B19" s="11" t="s">
        <v>18</v>
      </c>
      <c r="C19" s="3" t="s">
        <v>19</v>
      </c>
    </row>
    <row r="20" customFormat="false" ht="15" hidden="false" customHeight="false" outlineLevel="0" collapsed="false">
      <c r="B20" s="3" t="s">
        <v>18</v>
      </c>
      <c r="C20" s="3" t="s">
        <v>20</v>
      </c>
    </row>
    <row r="21" customFormat="false" ht="15" hidden="false" customHeight="false" outlineLevel="0" collapsed="false">
      <c r="B21" s="12" t="s">
        <v>18</v>
      </c>
      <c r="C21" s="3" t="s">
        <v>21</v>
      </c>
    </row>
    <row r="22" customFormat="false" ht="15" hidden="false" customHeight="false" outlineLevel="0" collapsed="false">
      <c r="B22" s="13" t="s">
        <v>18</v>
      </c>
      <c r="C22" s="3" t="s">
        <v>22</v>
      </c>
    </row>
    <row r="24" customFormat="false" ht="15" hidden="false" customHeight="false" outlineLevel="0" collapsed="false">
      <c r="A24" s="4"/>
      <c r="B24" s="5" t="s">
        <v>23</v>
      </c>
      <c r="C24" s="4"/>
    </row>
    <row r="25" customFormat="false" ht="15" hidden="false" customHeight="false" outlineLevel="0" collapsed="false">
      <c r="B25" s="14" t="s">
        <v>24</v>
      </c>
      <c r="C25" s="3" t="s">
        <v>25</v>
      </c>
    </row>
    <row r="26" customFormat="false" ht="15" hidden="false" customHeight="false" outlineLevel="0" collapsed="false">
      <c r="B26" s="14" t="s">
        <v>26</v>
      </c>
      <c r="C26" s="3" t="s">
        <v>27</v>
      </c>
    </row>
    <row r="27" customFormat="false" ht="15" hidden="false" customHeight="false" outlineLevel="0" collapsed="false">
      <c r="B27" s="14" t="s">
        <v>28</v>
      </c>
      <c r="C27" s="3" t="s">
        <v>29</v>
      </c>
    </row>
    <row r="28" customFormat="false" ht="15" hidden="false" customHeight="false" outlineLevel="0" collapsed="false">
      <c r="B28" s="14" t="s">
        <v>30</v>
      </c>
      <c r="C28" s="3" t="s">
        <v>31</v>
      </c>
    </row>
    <row r="29" customFormat="false" ht="15" hidden="false" customHeight="false" outlineLevel="0" collapsed="false">
      <c r="B29" s="14" t="s">
        <v>32</v>
      </c>
      <c r="C29" s="3" t="s">
        <v>33</v>
      </c>
    </row>
    <row r="30" customFormat="false" ht="15" hidden="false" customHeight="false" outlineLevel="0" collapsed="false">
      <c r="B30" s="14" t="s">
        <v>34</v>
      </c>
      <c r="C30" s="3" t="s">
        <v>35</v>
      </c>
    </row>
    <row r="31" customFormat="false" ht="15" hidden="false" customHeight="false" outlineLevel="0" collapsed="false">
      <c r="B31" s="14" t="s">
        <v>36</v>
      </c>
      <c r="C31" s="3" t="s">
        <v>37</v>
      </c>
    </row>
    <row r="32" customFormat="false" ht="15" hidden="false" customHeight="false" outlineLevel="0" collapsed="false">
      <c r="B32" s="14" t="s">
        <v>38</v>
      </c>
      <c r="C32" s="3" t="s">
        <v>39</v>
      </c>
    </row>
    <row r="34" customFormat="false" ht="15" hidden="false" customHeight="false" outlineLevel="0" collapsed="false">
      <c r="A34" s="4"/>
      <c r="B34" s="5" t="s">
        <v>40</v>
      </c>
      <c r="C34" s="4"/>
    </row>
    <row r="35" customFormat="false" ht="15" hidden="false" customHeight="false" outlineLevel="0" collapsed="false">
      <c r="C35" s="3" t="s">
        <v>41</v>
      </c>
    </row>
    <row r="36" customFormat="false" ht="15" hidden="false" customHeight="false" outlineLevel="0" collapsed="false">
      <c r="C36" s="3" t="s">
        <v>42</v>
      </c>
    </row>
    <row r="37" customFormat="false" ht="15" hidden="false" customHeight="false" outlineLevel="0" collapsed="false">
      <c r="C37" s="3" t="s">
        <v>43</v>
      </c>
    </row>
    <row r="38" customFormat="false" ht="15" hidden="false" customHeight="false" outlineLevel="0" collapsed="false">
      <c r="C38" s="3" t="s">
        <v>44</v>
      </c>
    </row>
    <row r="39" customFormat="false" ht="15" hidden="false" customHeight="false" outlineLevel="0" collapsed="false">
      <c r="C39" s="3" t="s">
        <v>45</v>
      </c>
    </row>
    <row r="41" customFormat="false" ht="15" hidden="false" customHeight="false" outlineLevel="0" collapsed="false">
      <c r="B41" s="1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48"/>
    <col collapsed="false" customWidth="true" hidden="false" outlineLevel="0" max="9" min="4" style="0" width="10"/>
    <col collapsed="false" customWidth="true" hidden="false" outlineLevel="0" max="10" min="10" style="0" width="2"/>
    <col collapsed="false" customWidth="true" hidden="false" outlineLevel="0" max="11" min="11" style="0" width="55"/>
  </cols>
  <sheetData>
    <row r="1" customFormat="false" ht="17.35" hidden="false" customHeight="false" outlineLevel="0" collapsed="false">
      <c r="B1" s="16" t="s">
        <v>47</v>
      </c>
    </row>
    <row r="2" customFormat="false" ht="15" hidden="false" customHeight="false" outlineLevel="0" collapsed="false">
      <c r="B2" s="17" t="s">
        <v>48</v>
      </c>
    </row>
    <row r="4" customFormat="false" ht="15" hidden="false" customHeight="false" outlineLevel="0" collapsed="false">
      <c r="A4" s="4"/>
      <c r="B4" s="5" t="s">
        <v>49</v>
      </c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B5" s="3" t="s">
        <v>13</v>
      </c>
      <c r="C5" s="18" t="n">
        <v>827.4</v>
      </c>
    </row>
    <row r="6" customFormat="false" ht="15" hidden="false" customHeight="false" outlineLevel="0" collapsed="false">
      <c r="B6" s="3" t="s">
        <v>50</v>
      </c>
      <c r="C6" s="19" t="n">
        <v>74.8</v>
      </c>
    </row>
    <row r="7" customFormat="false" ht="15" hidden="false" customHeight="false" outlineLevel="0" collapsed="false">
      <c r="B7" s="3" t="s">
        <v>51</v>
      </c>
      <c r="C7" s="20" t="n">
        <f aca="false">C5*C6</f>
        <v>61889.52</v>
      </c>
    </row>
    <row r="8" customFormat="false" ht="15" hidden="false" customHeight="false" outlineLevel="0" collapsed="false">
      <c r="B8" s="3" t="s">
        <v>52</v>
      </c>
      <c r="C8" s="21" t="n">
        <f aca="false">Historicals!F31</f>
        <v>9352</v>
      </c>
    </row>
    <row r="9" customFormat="false" ht="15" hidden="false" customHeight="false" outlineLevel="0" collapsed="false">
      <c r="B9" s="3" t="s">
        <v>53</v>
      </c>
      <c r="C9" s="21" t="n">
        <f aca="false">Historicals!F32</f>
        <v>6291</v>
      </c>
    </row>
    <row r="10" customFormat="false" ht="15" hidden="false" customHeight="false" outlineLevel="0" collapsed="false">
      <c r="B10" s="3" t="s">
        <v>54</v>
      </c>
      <c r="C10" s="20" t="n">
        <f aca="false">C8+C9</f>
        <v>15643</v>
      </c>
    </row>
    <row r="11" customFormat="false" ht="15" hidden="false" customHeight="false" outlineLevel="0" collapsed="false">
      <c r="B11" s="3" t="s">
        <v>55</v>
      </c>
      <c r="C11" s="20" t="n">
        <f aca="false">C7+C10</f>
        <v>77532.52</v>
      </c>
    </row>
    <row r="12" customFormat="false" ht="15" hidden="false" customHeight="false" outlineLevel="0" collapsed="false">
      <c r="B12" s="3" t="s">
        <v>56</v>
      </c>
      <c r="C12" s="19" t="n">
        <v>22</v>
      </c>
    </row>
    <row r="13" customFormat="false" ht="15" hidden="false" customHeight="false" outlineLevel="0" collapsed="false">
      <c r="B13" s="3" t="s">
        <v>57</v>
      </c>
      <c r="C13" s="22" t="n">
        <v>430</v>
      </c>
      <c r="D13" s="23" t="n">
        <v>904.4</v>
      </c>
    </row>
    <row r="14" customFormat="false" ht="15" hidden="false" customHeight="false" outlineLevel="0" collapsed="false">
      <c r="B14" s="3" t="s">
        <v>58</v>
      </c>
      <c r="C14" s="22" t="n">
        <v>730</v>
      </c>
      <c r="D14" s="23" t="n">
        <v>853.4</v>
      </c>
      <c r="E14" s="22" t="n">
        <v>900</v>
      </c>
    </row>
    <row r="16" customFormat="false" ht="15" hidden="false" customHeight="false" outlineLevel="0" collapsed="false">
      <c r="A16" s="4"/>
      <c r="B16" s="5" t="s">
        <v>59</v>
      </c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B17" s="3" t="s">
        <v>16</v>
      </c>
      <c r="C17" s="14" t="str">
        <f aca="false">CHOOSE(C18,"Bear","Base","Bull")</f>
        <v>Base</v>
      </c>
    </row>
    <row r="18" customFormat="false" ht="15" hidden="false" customHeight="false" outlineLevel="0" collapsed="false">
      <c r="B18" s="3" t="s">
        <v>60</v>
      </c>
      <c r="C18" s="24" t="n">
        <v>2</v>
      </c>
    </row>
    <row r="20" customFormat="false" ht="15" hidden="false" customHeight="false" outlineLevel="0" collapsed="false">
      <c r="A20" s="4"/>
      <c r="B20" s="5" t="s">
        <v>61</v>
      </c>
      <c r="C20" s="4"/>
      <c r="D20" s="25" t="s">
        <v>62</v>
      </c>
      <c r="E20" s="25" t="s">
        <v>63</v>
      </c>
      <c r="F20" s="25" t="s">
        <v>64</v>
      </c>
      <c r="G20" s="25" t="s">
        <v>65</v>
      </c>
      <c r="H20" s="25" t="s">
        <v>66</v>
      </c>
      <c r="I20" s="25" t="s">
        <v>67</v>
      </c>
      <c r="J20" s="4"/>
      <c r="K20" s="4"/>
    </row>
    <row r="21" customFormat="false" ht="15" hidden="false" customHeight="false" outlineLevel="0" collapsed="false">
      <c r="B21" s="14" t="s">
        <v>68</v>
      </c>
    </row>
    <row r="22" customFormat="false" ht="15" hidden="false" customHeight="false" outlineLevel="0" collapsed="false">
      <c r="B22" s="3" t="s">
        <v>69</v>
      </c>
      <c r="D22" s="26" t="n">
        <v>0.01</v>
      </c>
      <c r="E22" s="26" t="n">
        <v>0</v>
      </c>
      <c r="F22" s="26" t="n">
        <v>0.02</v>
      </c>
      <c r="G22" s="26" t="n">
        <v>0.025</v>
      </c>
      <c r="H22" s="26" t="n">
        <v>0.025</v>
      </c>
      <c r="I22" s="26" t="n">
        <v>0.025</v>
      </c>
      <c r="K22" s="17" t="s">
        <v>70</v>
      </c>
    </row>
    <row r="23" customFormat="false" ht="15" hidden="false" customHeight="false" outlineLevel="0" collapsed="false">
      <c r="B23" s="3" t="s">
        <v>71</v>
      </c>
      <c r="D23" s="26" t="n">
        <v>0.013</v>
      </c>
      <c r="E23" s="26" t="n">
        <v>0.04</v>
      </c>
      <c r="F23" s="26" t="n">
        <v>0.05</v>
      </c>
      <c r="G23" s="26" t="n">
        <v>0.05</v>
      </c>
      <c r="H23" s="26" t="n">
        <v>0.045</v>
      </c>
      <c r="I23" s="26" t="n">
        <v>0.04</v>
      </c>
      <c r="K23" s="17" t="s">
        <v>72</v>
      </c>
    </row>
    <row r="24" customFormat="false" ht="15" hidden="false" customHeight="false" outlineLevel="0" collapsed="false">
      <c r="B24" s="3" t="s">
        <v>73</v>
      </c>
      <c r="D24" s="26" t="n">
        <v>0.018</v>
      </c>
      <c r="E24" s="26" t="n">
        <v>0.055</v>
      </c>
      <c r="F24" s="26" t="n">
        <v>0.065</v>
      </c>
      <c r="G24" s="26" t="n">
        <v>0.06</v>
      </c>
      <c r="H24" s="26" t="n">
        <v>0.055</v>
      </c>
      <c r="I24" s="26" t="n">
        <v>0.05</v>
      </c>
      <c r="K24" s="17" t="s">
        <v>74</v>
      </c>
    </row>
    <row r="25" customFormat="false" ht="15" hidden="false" customHeight="false" outlineLevel="0" collapsed="false">
      <c r="B25" s="14" t="s">
        <v>75</v>
      </c>
      <c r="D25" s="27" t="n">
        <f aca="false">CHOOSE($C$18,D22,D23,D24)</f>
        <v>0.013</v>
      </c>
      <c r="E25" s="27" t="n">
        <f aca="false">CHOOSE($C$18,E22,E23,E24)</f>
        <v>0.04</v>
      </c>
      <c r="F25" s="27" t="n">
        <f aca="false">CHOOSE($C$18,F22,F23,F24)</f>
        <v>0.05</v>
      </c>
      <c r="G25" s="27" t="n">
        <f aca="false">CHOOSE($C$18,G22,G23,G24)</f>
        <v>0.05</v>
      </c>
      <c r="H25" s="27" t="n">
        <f aca="false">CHOOSE($C$18,H22,H23,H24)</f>
        <v>0.045</v>
      </c>
      <c r="I25" s="27" t="n">
        <f aca="false">CHOOSE($C$18,I22,I23,I24)</f>
        <v>0.04</v>
      </c>
    </row>
    <row r="27" customFormat="false" ht="15" hidden="false" customHeight="false" outlineLevel="0" collapsed="false">
      <c r="B27" s="14" t="s">
        <v>76</v>
      </c>
    </row>
    <row r="28" customFormat="false" ht="15" hidden="false" customHeight="false" outlineLevel="0" collapsed="false">
      <c r="B28" s="3" t="s">
        <v>69</v>
      </c>
      <c r="D28" s="26" t="n">
        <v>0.22</v>
      </c>
      <c r="E28" s="26" t="n">
        <v>0.125</v>
      </c>
      <c r="F28" s="26" t="n">
        <v>0.16</v>
      </c>
      <c r="G28" s="26" t="n">
        <v>0.175</v>
      </c>
      <c r="H28" s="26" t="n">
        <v>0.18</v>
      </c>
      <c r="I28" s="26" t="n">
        <v>0.18</v>
      </c>
      <c r="K28" s="17" t="s">
        <v>77</v>
      </c>
    </row>
    <row r="29" customFormat="false" ht="15" hidden="false" customHeight="false" outlineLevel="0" collapsed="false">
      <c r="B29" s="3" t="s">
        <v>71</v>
      </c>
      <c r="D29" s="26" t="n">
        <v>0.225</v>
      </c>
      <c r="E29" s="26" t="n">
        <v>0.145</v>
      </c>
      <c r="F29" s="26" t="n">
        <v>0.195</v>
      </c>
      <c r="G29" s="26" t="n">
        <v>0.215</v>
      </c>
      <c r="H29" s="26" t="n">
        <v>0.225</v>
      </c>
      <c r="I29" s="26" t="n">
        <v>0.23</v>
      </c>
      <c r="K29" s="17" t="s">
        <v>78</v>
      </c>
    </row>
    <row r="30" customFormat="false" ht="15" hidden="false" customHeight="false" outlineLevel="0" collapsed="false">
      <c r="B30" s="3" t="s">
        <v>73</v>
      </c>
      <c r="D30" s="26" t="n">
        <v>0.23</v>
      </c>
      <c r="E30" s="26" t="n">
        <v>0.165</v>
      </c>
      <c r="F30" s="26" t="n">
        <v>0.215</v>
      </c>
      <c r="G30" s="26" t="n">
        <v>0.235</v>
      </c>
      <c r="H30" s="26" t="n">
        <v>0.245</v>
      </c>
      <c r="I30" s="26" t="n">
        <v>0.25</v>
      </c>
      <c r="K30" s="17" t="s">
        <v>79</v>
      </c>
    </row>
    <row r="31" customFormat="false" ht="15" hidden="false" customHeight="false" outlineLevel="0" collapsed="false">
      <c r="B31" s="14" t="s">
        <v>75</v>
      </c>
      <c r="D31" s="27" t="n">
        <f aca="false">CHOOSE($C$18,D28,D29,D30)</f>
        <v>0.225</v>
      </c>
      <c r="E31" s="27" t="n">
        <f aca="false">CHOOSE($C$18,E28,E29,E30)</f>
        <v>0.145</v>
      </c>
      <c r="F31" s="27" t="n">
        <f aca="false">CHOOSE($C$18,F28,F29,F30)</f>
        <v>0.195</v>
      </c>
      <c r="G31" s="27" t="n">
        <f aca="false">CHOOSE($C$18,G28,G29,G30)</f>
        <v>0.215</v>
      </c>
      <c r="H31" s="27" t="n">
        <f aca="false">CHOOSE($C$18,H28,H29,H30)</f>
        <v>0.225</v>
      </c>
      <c r="I31" s="27" t="n">
        <f aca="false">CHOOSE($C$18,I28,I29,I30)</f>
        <v>0.23</v>
      </c>
    </row>
    <row r="33" customFormat="false" ht="15" hidden="false" customHeight="false" outlineLevel="0" collapsed="false">
      <c r="A33" s="4"/>
      <c r="B33" s="5" t="s">
        <v>80</v>
      </c>
      <c r="C33" s="4"/>
      <c r="D33" s="25" t="s">
        <v>62</v>
      </c>
      <c r="E33" s="25" t="s">
        <v>63</v>
      </c>
      <c r="F33" s="25" t="s">
        <v>64</v>
      </c>
      <c r="G33" s="25" t="s">
        <v>65</v>
      </c>
      <c r="H33" s="25" t="s">
        <v>66</v>
      </c>
      <c r="I33" s="25" t="s">
        <v>67</v>
      </c>
      <c r="J33" s="4"/>
      <c r="K33" s="4"/>
    </row>
    <row r="34" customFormat="false" ht="15" hidden="false" customHeight="false" outlineLevel="0" collapsed="false">
      <c r="B34" s="3" t="s">
        <v>81</v>
      </c>
      <c r="D34" s="26" t="n">
        <v>0.046</v>
      </c>
      <c r="E34" s="26" t="n">
        <v>0.046</v>
      </c>
      <c r="F34" s="26" t="n">
        <v>0.046</v>
      </c>
      <c r="G34" s="26" t="n">
        <v>0.046</v>
      </c>
      <c r="H34" s="26" t="n">
        <v>0.046</v>
      </c>
      <c r="I34" s="26" t="n">
        <v>0.046</v>
      </c>
    </row>
    <row r="35" customFormat="false" ht="15" hidden="false" customHeight="false" outlineLevel="0" collapsed="false">
      <c r="B35" s="3" t="s">
        <v>82</v>
      </c>
      <c r="D35" s="26" t="n">
        <v>0.053</v>
      </c>
      <c r="E35" s="26" t="n">
        <v>0.053</v>
      </c>
      <c r="F35" s="26" t="n">
        <v>0.053</v>
      </c>
      <c r="G35" s="26" t="n">
        <v>0.053</v>
      </c>
      <c r="H35" s="26" t="n">
        <v>0.053</v>
      </c>
      <c r="I35" s="26" t="n">
        <v>0.053</v>
      </c>
    </row>
    <row r="36" customFormat="false" ht="15" hidden="false" customHeight="false" outlineLevel="0" collapsed="false">
      <c r="B36" s="3" t="s">
        <v>83</v>
      </c>
      <c r="D36" s="26" t="n">
        <v>0.035</v>
      </c>
      <c r="E36" s="26" t="n">
        <v>0.035</v>
      </c>
      <c r="F36" s="26" t="n">
        <v>0.035</v>
      </c>
      <c r="G36" s="26" t="n">
        <v>0.035</v>
      </c>
      <c r="H36" s="26" t="n">
        <v>0.035</v>
      </c>
      <c r="I36" s="26" t="n">
        <v>0.035</v>
      </c>
    </row>
    <row r="37" customFormat="false" ht="15" hidden="false" customHeight="false" outlineLevel="0" collapsed="false">
      <c r="B37" s="3" t="s">
        <v>84</v>
      </c>
      <c r="D37" s="26" t="n">
        <v>0.07</v>
      </c>
      <c r="E37" s="26" t="n">
        <v>0.065</v>
      </c>
      <c r="F37" s="26" t="n">
        <v>0.06</v>
      </c>
      <c r="G37" s="26" t="n">
        <v>0.06</v>
      </c>
      <c r="H37" s="26" t="n">
        <v>0.058</v>
      </c>
      <c r="I37" s="26" t="n">
        <v>0.058</v>
      </c>
    </row>
    <row r="38" customFormat="false" ht="15" hidden="false" customHeight="false" outlineLevel="0" collapsed="false">
      <c r="B38" s="3" t="s">
        <v>85</v>
      </c>
      <c r="D38" s="26" t="n">
        <v>0.015</v>
      </c>
      <c r="E38" s="26" t="n">
        <v>0.02</v>
      </c>
      <c r="F38" s="26" t="n">
        <v>0.01</v>
      </c>
      <c r="G38" s="26" t="n">
        <v>0.005</v>
      </c>
      <c r="H38" s="26" t="n">
        <v>0.005</v>
      </c>
      <c r="I38" s="26" t="n">
        <v>0.005</v>
      </c>
    </row>
    <row r="39" customFormat="false" ht="15" hidden="false" customHeight="false" outlineLevel="0" collapsed="false">
      <c r="B39" s="3" t="s">
        <v>86</v>
      </c>
      <c r="D39" s="26" t="n">
        <v>0.25</v>
      </c>
      <c r="E39" s="26" t="n">
        <v>0.25</v>
      </c>
      <c r="F39" s="26" t="n">
        <v>0.25</v>
      </c>
      <c r="G39" s="26" t="n">
        <v>0.25</v>
      </c>
      <c r="H39" s="26" t="n">
        <v>0.25</v>
      </c>
      <c r="I39" s="26" t="n">
        <v>0.25</v>
      </c>
    </row>
    <row r="40" customFormat="false" ht="15" hidden="false" customHeight="false" outlineLevel="0" collapsed="false">
      <c r="B40" s="3" t="s">
        <v>87</v>
      </c>
      <c r="D40" s="22" t="n">
        <v>1125</v>
      </c>
      <c r="E40" s="22" t="n">
        <v>1000</v>
      </c>
      <c r="F40" s="22" t="n">
        <v>950</v>
      </c>
      <c r="G40" s="22" t="n">
        <v>900</v>
      </c>
      <c r="H40" s="22" t="n">
        <v>900</v>
      </c>
      <c r="I40" s="22" t="n">
        <v>900</v>
      </c>
    </row>
    <row r="42" customFormat="false" ht="15" hidden="false" customHeight="false" outlineLevel="0" collapsed="false">
      <c r="A42" s="4"/>
      <c r="B42" s="5" t="s">
        <v>88</v>
      </c>
      <c r="C42" s="4"/>
      <c r="D42" s="4"/>
      <c r="E42" s="4"/>
      <c r="F42" s="4"/>
      <c r="G42" s="4"/>
      <c r="H42" s="4"/>
      <c r="I42" s="4"/>
      <c r="J42" s="4"/>
      <c r="K42" s="4"/>
    </row>
    <row r="43" customFormat="false" ht="15" hidden="false" customHeight="false" outlineLevel="0" collapsed="false">
      <c r="B43" s="3" t="s">
        <v>89</v>
      </c>
      <c r="C43" s="28" t="n">
        <v>0.033</v>
      </c>
    </row>
    <row r="44" customFormat="false" ht="15" hidden="false" customHeight="false" outlineLevel="0" collapsed="false">
      <c r="B44" s="3" t="s">
        <v>90</v>
      </c>
      <c r="C44" s="28" t="n">
        <v>0.055</v>
      </c>
    </row>
    <row r="45" customFormat="false" ht="15" hidden="false" customHeight="false" outlineLevel="0" collapsed="false">
      <c r="B45" s="3" t="s">
        <v>91</v>
      </c>
      <c r="C45" s="29" t="n">
        <v>1.2</v>
      </c>
    </row>
    <row r="46" customFormat="false" ht="15" hidden="false" customHeight="false" outlineLevel="0" collapsed="false">
      <c r="B46" s="3" t="s">
        <v>92</v>
      </c>
      <c r="C46" s="26" t="n">
        <v>0.043</v>
      </c>
    </row>
    <row r="47" customFormat="false" ht="15" hidden="false" customHeight="false" outlineLevel="0" collapsed="false">
      <c r="B47" s="3" t="s">
        <v>93</v>
      </c>
      <c r="C47" s="26" t="n">
        <v>0.15</v>
      </c>
    </row>
    <row r="48" customFormat="false" ht="15" hidden="false" customHeight="false" outlineLevel="0" collapsed="false">
      <c r="B48" s="3" t="s">
        <v>94</v>
      </c>
      <c r="C48" s="28" t="n">
        <v>0.025</v>
      </c>
    </row>
    <row r="49" customFormat="false" ht="15" hidden="false" customHeight="false" outlineLevel="0" collapsed="false">
      <c r="B49" s="3" t="s">
        <v>95</v>
      </c>
      <c r="C49" s="30" t="n">
        <f aca="false">D39</f>
        <v>0.25</v>
      </c>
    </row>
    <row r="51" customFormat="false" ht="15" hidden="false" customHeight="false" outlineLevel="0" collapsed="false">
      <c r="A51" s="4"/>
      <c r="B51" s="5" t="s">
        <v>96</v>
      </c>
      <c r="C51" s="4"/>
      <c r="D51" s="4"/>
      <c r="E51" s="4"/>
      <c r="F51" s="4"/>
      <c r="G51" s="4"/>
      <c r="H51" s="4"/>
      <c r="I51" s="4"/>
      <c r="J51" s="4"/>
      <c r="K51" s="4"/>
    </row>
    <row r="52" customFormat="false" ht="15" hidden="false" customHeight="false" outlineLevel="0" collapsed="false">
      <c r="B52" s="3" t="s">
        <v>97</v>
      </c>
      <c r="C52" s="26" t="n">
        <v>0.7</v>
      </c>
    </row>
    <row r="53" customFormat="false" ht="15" hidden="false" customHeight="false" outlineLevel="0" collapsed="false">
      <c r="B53" s="3" t="s">
        <v>98</v>
      </c>
      <c r="C53" s="26" t="n">
        <v>0.15</v>
      </c>
    </row>
    <row r="54" customFormat="false" ht="15" hidden="false" customHeight="false" outlineLevel="0" collapsed="false">
      <c r="B54" s="3" t="s">
        <v>99</v>
      </c>
      <c r="C54" s="26" t="n">
        <v>0.15</v>
      </c>
    </row>
    <row r="55" customFormat="false" ht="15" hidden="false" customHeight="false" outlineLevel="0" collapsed="false">
      <c r="B55" s="3" t="s">
        <v>100</v>
      </c>
      <c r="C55" s="30" t="n">
        <f aca="false">SUM(C52:C54)</f>
        <v>1</v>
      </c>
    </row>
    <row r="56" customFormat="false" ht="15" hidden="false" customHeight="false" outlineLevel="0" collapsed="false">
      <c r="B56" s="3" t="s">
        <v>101</v>
      </c>
      <c r="C56" s="26" t="n">
        <v>0.1</v>
      </c>
    </row>
    <row r="57" customFormat="false" ht="15" hidden="false" customHeight="false" outlineLevel="0" collapsed="false">
      <c r="B57" s="3" t="s">
        <v>102</v>
      </c>
      <c r="C57" s="26" t="n">
        <v>-0.1</v>
      </c>
    </row>
    <row r="59" customFormat="false" ht="15" hidden="false" customHeight="false" outlineLevel="0" collapsed="false">
      <c r="A59" s="4"/>
      <c r="B59" s="5" t="s">
        <v>103</v>
      </c>
      <c r="C59" s="4"/>
      <c r="D59" s="4"/>
      <c r="E59" s="4"/>
      <c r="F59" s="4"/>
      <c r="G59" s="4"/>
      <c r="H59" s="4"/>
      <c r="I59" s="4"/>
      <c r="J59" s="4"/>
      <c r="K59" s="4"/>
    </row>
    <row r="60" customFormat="false" ht="15" hidden="false" customHeight="false" outlineLevel="0" collapsed="false">
      <c r="B60" s="31" t="s">
        <v>104</v>
      </c>
      <c r="C60" s="31" t="s">
        <v>105</v>
      </c>
      <c r="D60" s="31" t="s">
        <v>106</v>
      </c>
    </row>
    <row r="61" customFormat="false" ht="15" hidden="false" customHeight="false" outlineLevel="0" collapsed="false">
      <c r="B61" s="3" t="s">
        <v>107</v>
      </c>
      <c r="C61" s="32" t="s">
        <v>108</v>
      </c>
      <c r="D61" s="33" t="s">
        <v>109</v>
      </c>
    </row>
    <row r="62" customFormat="false" ht="15" hidden="false" customHeight="false" outlineLevel="0" collapsed="false">
      <c r="B62" s="3" t="s">
        <v>110</v>
      </c>
      <c r="C62" s="32" t="s">
        <v>111</v>
      </c>
      <c r="D62" s="33" t="s">
        <v>112</v>
      </c>
    </row>
    <row r="63" customFormat="false" ht="15" hidden="false" customHeight="false" outlineLevel="0" collapsed="false">
      <c r="B63" s="3" t="s">
        <v>113</v>
      </c>
      <c r="C63" s="32" t="s">
        <v>114</v>
      </c>
      <c r="D63" s="33" t="s">
        <v>115</v>
      </c>
    </row>
    <row r="64" customFormat="false" ht="15" hidden="false" customHeight="false" outlineLevel="0" collapsed="false">
      <c r="B64" s="3" t="s">
        <v>116</v>
      </c>
      <c r="C64" s="32" t="s">
        <v>117</v>
      </c>
      <c r="D64" s="33" t="s">
        <v>112</v>
      </c>
    </row>
    <row r="65" customFormat="false" ht="15" hidden="false" customHeight="false" outlineLevel="0" collapsed="false">
      <c r="B65" s="3" t="s">
        <v>118</v>
      </c>
      <c r="C65" s="32" t="s">
        <v>119</v>
      </c>
      <c r="D65" s="34" t="s">
        <v>120</v>
      </c>
    </row>
    <row r="66" customFormat="false" ht="15" hidden="false" customHeight="false" outlineLevel="0" collapsed="false">
      <c r="B66" s="3" t="s">
        <v>121</v>
      </c>
      <c r="C66" s="32" t="s">
        <v>122</v>
      </c>
      <c r="D66" s="34" t="s">
        <v>120</v>
      </c>
    </row>
    <row r="67" customFormat="false" ht="15" hidden="false" customHeight="false" outlineLevel="0" collapsed="false">
      <c r="B67" s="3" t="s">
        <v>123</v>
      </c>
      <c r="C67" s="32" t="s">
        <v>124</v>
      </c>
      <c r="D67" s="34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7" min="3" style="0" width="12"/>
    <col collapsed="false" customWidth="true" hidden="false" outlineLevel="0" max="8" min="8" style="0" width="2"/>
    <col collapsed="false" customWidth="true" hidden="false" outlineLevel="0" max="9" min="9" style="0" width="55"/>
  </cols>
  <sheetData>
    <row r="1" customFormat="false" ht="17.35" hidden="false" customHeight="false" outlineLevel="0" collapsed="false">
      <c r="B1" s="16" t="s">
        <v>126</v>
      </c>
    </row>
    <row r="2" customFormat="false" ht="15" hidden="false" customHeight="false" outlineLevel="0" collapsed="false">
      <c r="B2" s="17" t="s">
        <v>127</v>
      </c>
    </row>
    <row r="4" customFormat="false" ht="15" hidden="false" customHeight="false" outlineLevel="0" collapsed="false">
      <c r="A4" s="4"/>
      <c r="B4" s="5" t="s">
        <v>128</v>
      </c>
      <c r="C4" s="25" t="s">
        <v>129</v>
      </c>
      <c r="D4" s="25" t="s">
        <v>130</v>
      </c>
      <c r="E4" s="25" t="s">
        <v>131</v>
      </c>
      <c r="F4" s="25" t="s">
        <v>132</v>
      </c>
      <c r="G4" s="25" t="s">
        <v>133</v>
      </c>
      <c r="H4" s="4"/>
      <c r="I4" s="4"/>
    </row>
    <row r="5" customFormat="false" ht="15" hidden="false" customHeight="false" outlineLevel="0" collapsed="false">
      <c r="B5" s="14" t="s">
        <v>134</v>
      </c>
      <c r="C5" s="35" t="n">
        <v>31680</v>
      </c>
      <c r="D5" s="35" t="n">
        <v>32549</v>
      </c>
      <c r="E5" s="35" t="n">
        <v>14421</v>
      </c>
      <c r="F5" s="35" t="n">
        <v>14328</v>
      </c>
      <c r="G5" s="36" t="n">
        <f aca="false">D5+F5-E5</f>
        <v>32456</v>
      </c>
    </row>
    <row r="6" customFormat="false" ht="15" hidden="false" customHeight="false" outlineLevel="0" collapsed="false">
      <c r="B6" s="3" t="s">
        <v>135</v>
      </c>
      <c r="C6" s="26" t="n">
        <v>0.13</v>
      </c>
      <c r="D6" s="26" t="n">
        <v>0.06</v>
      </c>
      <c r="E6" s="26" t="n">
        <v>0.07</v>
      </c>
      <c r="F6" s="26" t="n">
        <v>0.02</v>
      </c>
    </row>
    <row r="7" customFormat="false" ht="15" hidden="false" customHeight="false" outlineLevel="0" collapsed="false">
      <c r="B7" s="3" t="s">
        <v>136</v>
      </c>
      <c r="C7" s="26" t="n">
        <v>0.07</v>
      </c>
      <c r="D7" s="26" t="n">
        <v>0.02</v>
      </c>
      <c r="E7" s="26" t="n">
        <v>0.04</v>
      </c>
      <c r="F7" s="26" t="n">
        <v>0</v>
      </c>
    </row>
    <row r="8" customFormat="false" ht="15" hidden="false" customHeight="false" outlineLevel="0" collapsed="false">
      <c r="B8" s="3" t="s">
        <v>137</v>
      </c>
      <c r="C8" s="22" t="n">
        <v>25289</v>
      </c>
      <c r="D8" s="22" t="n">
        <v>25747</v>
      </c>
      <c r="E8" s="22" t="n">
        <v>11517</v>
      </c>
      <c r="F8" s="22" t="n">
        <v>11459</v>
      </c>
      <c r="G8" s="20" t="n">
        <f aca="false">D8+F8-E8</f>
        <v>25689</v>
      </c>
    </row>
    <row r="9" customFormat="false" ht="15" hidden="false" customHeight="false" outlineLevel="0" collapsed="false">
      <c r="B9" s="3" t="s">
        <v>138</v>
      </c>
      <c r="C9" s="30" t="n">
        <f aca="false">C8/C5</f>
        <v>0.798263888888889</v>
      </c>
      <c r="D9" s="30" t="n">
        <f aca="false">D8/D5</f>
        <v>0.791022765676365</v>
      </c>
      <c r="E9" s="30" t="n">
        <f aca="false">E8/E5</f>
        <v>0.79862700228833</v>
      </c>
      <c r="F9" s="30" t="n">
        <f aca="false">F8/F5</f>
        <v>0.799762702400893</v>
      </c>
      <c r="G9" s="30" t="n">
        <f aca="false">G8/G5</f>
        <v>0.791502341631748</v>
      </c>
    </row>
    <row r="10" customFormat="false" ht="15" hidden="false" customHeight="false" outlineLevel="0" collapsed="false">
      <c r="B10" s="3" t="s">
        <v>139</v>
      </c>
      <c r="C10" s="22" t="n">
        <v>10327</v>
      </c>
      <c r="D10" s="22" t="n">
        <v>10316</v>
      </c>
      <c r="E10" s="22" t="n">
        <v>4175</v>
      </c>
      <c r="F10" s="22" t="n">
        <v>4279</v>
      </c>
      <c r="G10" s="20" t="n">
        <f aca="false">D10+F10-E10</f>
        <v>10420</v>
      </c>
    </row>
    <row r="11" customFormat="false" ht="15" hidden="false" customHeight="false" outlineLevel="0" collapsed="false">
      <c r="B11" s="3" t="s">
        <v>140</v>
      </c>
      <c r="C11" s="30" t="n">
        <f aca="false">C10/C5</f>
        <v>0.325978535353535</v>
      </c>
      <c r="D11" s="30" t="n">
        <f aca="false">D10/D5</f>
        <v>0.31693754032382</v>
      </c>
      <c r="E11" s="30" t="n">
        <f aca="false">E10/E5</f>
        <v>0.289508355869912</v>
      </c>
      <c r="F11" s="30" t="n">
        <f aca="false">F10/F5</f>
        <v>0.298646007816862</v>
      </c>
      <c r="G11" s="30" t="n">
        <f aca="false">G10/G5</f>
        <v>0.321050036973133</v>
      </c>
    </row>
    <row r="12" customFormat="false" ht="15" hidden="false" customHeight="false" outlineLevel="0" collapsed="false">
      <c r="B12" s="3" t="s">
        <v>141</v>
      </c>
      <c r="C12" s="22" t="n">
        <v>1343</v>
      </c>
      <c r="D12" s="22" t="n">
        <v>1466</v>
      </c>
      <c r="E12" s="22" t="n">
        <v>718</v>
      </c>
      <c r="F12" s="22" t="n">
        <v>768</v>
      </c>
      <c r="G12" s="20" t="n">
        <f aca="false">D12+F12-E12</f>
        <v>1516</v>
      </c>
    </row>
    <row r="13" customFormat="false" ht="15" hidden="false" customHeight="false" outlineLevel="0" collapsed="false">
      <c r="B13" s="3" t="s">
        <v>142</v>
      </c>
      <c r="C13" s="20" t="n">
        <f aca="false">C10-C14-C12</f>
        <v>1010</v>
      </c>
      <c r="D13" s="20" t="n">
        <f aca="false">D10-D14-D12</f>
        <v>1067</v>
      </c>
      <c r="E13" s="20" t="n">
        <f aca="false">E10-E14-E12</f>
        <v>529</v>
      </c>
      <c r="F13" s="20" t="n">
        <f aca="false">F10-F14-F12</f>
        <v>560</v>
      </c>
      <c r="G13" s="20" t="n">
        <f aca="false">G10-G14-G12</f>
        <v>1098</v>
      </c>
    </row>
    <row r="14" customFormat="false" ht="15" hidden="false" customHeight="false" outlineLevel="0" collapsed="false">
      <c r="B14" s="14" t="s">
        <v>143</v>
      </c>
      <c r="C14" s="35" t="n">
        <v>7974</v>
      </c>
      <c r="D14" s="35" t="n">
        <v>7783</v>
      </c>
      <c r="E14" s="35" t="n">
        <v>2928</v>
      </c>
      <c r="F14" s="35" t="n">
        <v>2951</v>
      </c>
      <c r="G14" s="36" t="n">
        <f aca="false">D14+F14-E14</f>
        <v>7806</v>
      </c>
    </row>
    <row r="15" customFormat="false" ht="15" hidden="false" customHeight="false" outlineLevel="0" collapsed="false">
      <c r="B15" s="3" t="s">
        <v>144</v>
      </c>
      <c r="C15" s="30" t="n">
        <f aca="false">C14/C5</f>
        <v>0.251704545454545</v>
      </c>
      <c r="D15" s="30" t="n">
        <f aca="false">D14/D5</f>
        <v>0.239116409106271</v>
      </c>
      <c r="E15" s="30" t="n">
        <f aca="false">E14/E5</f>
        <v>0.20303723736218</v>
      </c>
      <c r="F15" s="30" t="n">
        <f aca="false">F14/F5</f>
        <v>0.205960357342267</v>
      </c>
      <c r="G15" s="30" t="n">
        <f aca="false">G14/G5</f>
        <v>0.240510229233424</v>
      </c>
      <c r="I15" s="17" t="s">
        <v>145</v>
      </c>
    </row>
    <row r="16" customFormat="false" ht="15" hidden="false" customHeight="false" outlineLevel="0" collapsed="false">
      <c r="B16" s="3" t="s">
        <v>146</v>
      </c>
      <c r="C16" s="22" t="n">
        <v>-1048</v>
      </c>
      <c r="D16" s="22" t="n">
        <v>-870</v>
      </c>
      <c r="E16" s="22" t="n">
        <v>-461</v>
      </c>
      <c r="F16" s="22" t="n">
        <v>-515</v>
      </c>
      <c r="G16" s="20" t="n">
        <f aca="false">D16+F16-E16</f>
        <v>-924</v>
      </c>
      <c r="I16" s="17" t="s">
        <v>147</v>
      </c>
    </row>
    <row r="17" customFormat="false" ht="15" hidden="false" customHeight="false" outlineLevel="0" collapsed="false">
      <c r="B17" s="3" t="s">
        <v>148</v>
      </c>
      <c r="C17" s="20" t="n">
        <f aca="false">C14+C16</f>
        <v>6926</v>
      </c>
      <c r="D17" s="20" t="n">
        <f aca="false">D14+D16</f>
        <v>6913</v>
      </c>
      <c r="E17" s="20" t="n">
        <f aca="false">E14+E16</f>
        <v>2467</v>
      </c>
      <c r="F17" s="20" t="n">
        <f aca="false">F14+F16</f>
        <v>2436</v>
      </c>
      <c r="G17" s="20" t="n">
        <f aca="false">G14+G16</f>
        <v>6882</v>
      </c>
    </row>
    <row r="18" customFormat="false" ht="15" hidden="false" customHeight="false" outlineLevel="0" collapsed="false">
      <c r="B18" s="3" t="s">
        <v>149</v>
      </c>
      <c r="C18" s="22" t="n">
        <v>-1699</v>
      </c>
      <c r="D18" s="22" t="n">
        <v>-1671</v>
      </c>
      <c r="E18" s="22" t="n">
        <v>-562</v>
      </c>
      <c r="F18" s="22" t="n">
        <v>-619</v>
      </c>
      <c r="G18" s="20" t="n">
        <f aca="false">D18+F18-E18</f>
        <v>-1728</v>
      </c>
    </row>
    <row r="19" customFormat="false" ht="15" hidden="false" customHeight="false" outlineLevel="0" collapsed="false">
      <c r="B19" s="14" t="s">
        <v>150</v>
      </c>
      <c r="C19" s="35" t="n">
        <v>5227</v>
      </c>
      <c r="D19" s="35" t="n">
        <v>5241</v>
      </c>
      <c r="E19" s="35" t="n">
        <v>1904</v>
      </c>
      <c r="F19" s="35" t="n">
        <v>1817</v>
      </c>
      <c r="G19" s="36" t="n">
        <f aca="false">D19+F19-E19</f>
        <v>5154</v>
      </c>
    </row>
    <row r="20" customFormat="false" ht="15" hidden="false" customHeight="false" outlineLevel="0" collapsed="false">
      <c r="B20" s="3" t="s">
        <v>151</v>
      </c>
      <c r="C20" s="23" t="n">
        <v>64.8</v>
      </c>
      <c r="D20" s="23" t="n">
        <v>68.1</v>
      </c>
      <c r="E20" s="23" t="n">
        <v>24.4</v>
      </c>
      <c r="F20" s="23" t="n">
        <v>24.3</v>
      </c>
      <c r="G20" s="37" t="n">
        <f aca="false">D20+F20-E20</f>
        <v>68</v>
      </c>
    </row>
    <row r="21" customFormat="false" ht="15" hidden="false" customHeight="false" outlineLevel="0" collapsed="false">
      <c r="B21" s="3" t="s">
        <v>152</v>
      </c>
      <c r="C21" s="23" t="n">
        <v>20</v>
      </c>
      <c r="D21" s="23" t="n">
        <v>22</v>
      </c>
    </row>
    <row r="22" customFormat="false" ht="15" hidden="false" customHeight="false" outlineLevel="0" collapsed="false">
      <c r="B22" s="3" t="s">
        <v>86</v>
      </c>
      <c r="C22" s="30" t="n">
        <f aca="false">-C18/C17</f>
        <v>0.245307536817788</v>
      </c>
      <c r="D22" s="30" t="n">
        <f aca="false">-D18/D17</f>
        <v>0.241718501374223</v>
      </c>
      <c r="E22" s="30" t="n">
        <f aca="false">-E18/E17</f>
        <v>0.227807053100932</v>
      </c>
      <c r="F22" s="30" t="n">
        <f aca="false">-F18/F17</f>
        <v>0.254105090311987</v>
      </c>
      <c r="G22" s="30" t="n">
        <f aca="false">-G18/G17</f>
        <v>0.251089799476896</v>
      </c>
    </row>
    <row r="24" customFormat="false" ht="15" hidden="false" customHeight="false" outlineLevel="0" collapsed="false">
      <c r="A24" s="4"/>
      <c r="B24" s="5" t="s">
        <v>153</v>
      </c>
      <c r="C24" s="25" t="s">
        <v>129</v>
      </c>
      <c r="D24" s="25" t="s">
        <v>130</v>
      </c>
      <c r="E24" s="25" t="s">
        <v>131</v>
      </c>
      <c r="F24" s="25" t="s">
        <v>132</v>
      </c>
      <c r="G24" s="25" t="s">
        <v>133</v>
      </c>
      <c r="H24" s="4"/>
      <c r="I24" s="4"/>
    </row>
    <row r="25" customFormat="false" ht="15" hidden="false" customHeight="false" outlineLevel="0" collapsed="false">
      <c r="B25" s="3" t="s">
        <v>154</v>
      </c>
      <c r="C25" s="22" t="n">
        <v>1919</v>
      </c>
      <c r="D25" s="22" t="n">
        <v>1943</v>
      </c>
      <c r="E25" s="22" t="n">
        <v>1010</v>
      </c>
      <c r="F25" s="22" t="n">
        <v>899</v>
      </c>
      <c r="G25" s="20" t="n">
        <f aca="false">D25+F25-E25</f>
        <v>1832</v>
      </c>
    </row>
    <row r="26" customFormat="false" ht="15" hidden="false" customHeight="false" outlineLevel="0" collapsed="false">
      <c r="B26" s="3" t="s">
        <v>155</v>
      </c>
      <c r="C26" s="22" t="n">
        <v>1162</v>
      </c>
      <c r="D26" s="22" t="n">
        <v>1260</v>
      </c>
      <c r="E26" s="22" t="n">
        <v>636</v>
      </c>
      <c r="F26" s="22" t="n">
        <v>709</v>
      </c>
      <c r="G26" s="20" t="n">
        <f aca="false">D26+F26-E26</f>
        <v>1333</v>
      </c>
    </row>
    <row r="27" customFormat="false" ht="15" hidden="false" customHeight="false" outlineLevel="0" collapsed="false">
      <c r="B27" s="3" t="s">
        <v>156</v>
      </c>
      <c r="C27" s="22" t="n">
        <v>381</v>
      </c>
      <c r="D27" s="22" t="n">
        <v>422</v>
      </c>
      <c r="E27" s="22" t="n">
        <v>206</v>
      </c>
      <c r="F27" s="22" t="n">
        <v>215</v>
      </c>
      <c r="G27" s="20" t="n">
        <f aca="false">D27+F27-E27</f>
        <v>431</v>
      </c>
    </row>
    <row r="28" customFormat="false" ht="15" hidden="false" customHeight="false" outlineLevel="0" collapsed="false">
      <c r="B28" s="3" t="s">
        <v>157</v>
      </c>
      <c r="C28" s="22" t="n">
        <v>6767</v>
      </c>
      <c r="D28" s="22" t="n">
        <v>5022</v>
      </c>
      <c r="E28" s="22" t="n">
        <v>173</v>
      </c>
      <c r="F28" s="22" t="n">
        <v>890</v>
      </c>
      <c r="G28" s="20" t="n">
        <f aca="false">D28+F28-E28</f>
        <v>5739</v>
      </c>
    </row>
    <row r="29" customFormat="false" ht="15" hidden="false" customHeight="false" outlineLevel="0" collapsed="false">
      <c r="B29" s="3" t="s">
        <v>158</v>
      </c>
      <c r="C29" s="22" t="n">
        <v>-510</v>
      </c>
      <c r="D29" s="22" t="n">
        <v>-352</v>
      </c>
      <c r="E29" s="22" t="n">
        <v>1112</v>
      </c>
      <c r="F29" s="22" t="n">
        <v>996</v>
      </c>
      <c r="G29" s="20" t="n">
        <f aca="false">F29</f>
        <v>996</v>
      </c>
    </row>
    <row r="30" customFormat="false" ht="15" hidden="false" customHeight="false" outlineLevel="0" collapsed="false">
      <c r="B30" s="3" t="s">
        <v>84</v>
      </c>
      <c r="C30" s="30" t="n">
        <f aca="false">C25/C5</f>
        <v>0.060574494949495</v>
      </c>
      <c r="D30" s="30" t="n">
        <f aca="false">D25/D5</f>
        <v>0.059694614273864</v>
      </c>
      <c r="E30" s="30" t="n">
        <f aca="false">E25/E5</f>
        <v>0.0700367519589488</v>
      </c>
      <c r="F30" s="30" t="n">
        <f aca="false">F25/F5</f>
        <v>0.0627442769402569</v>
      </c>
      <c r="G30" s="30" t="n">
        <f aca="false">G25/G5</f>
        <v>0.0564456494947005</v>
      </c>
    </row>
    <row r="31" customFormat="false" ht="15" hidden="false" customHeight="false" outlineLevel="0" collapsed="false">
      <c r="B31" s="14" t="s">
        <v>159</v>
      </c>
      <c r="C31" s="36" t="n">
        <f aca="false">C33-C34</f>
        <v>5834</v>
      </c>
      <c r="D31" s="36" t="n">
        <f aca="false">D33-D34</f>
        <v>8051</v>
      </c>
      <c r="E31" s="36" t="n">
        <f aca="false">E33-E34</f>
        <v>9970</v>
      </c>
      <c r="F31" s="36" t="n">
        <f aca="false">F33-F34</f>
        <v>9352</v>
      </c>
      <c r="G31" s="36" t="n">
        <f aca="false">G33-G34</f>
        <v>9352</v>
      </c>
    </row>
    <row r="32" customFormat="false" ht="15" hidden="false" customHeight="false" outlineLevel="0" collapsed="false">
      <c r="B32" s="3" t="s">
        <v>160</v>
      </c>
      <c r="C32" s="22" t="n">
        <v>5173</v>
      </c>
      <c r="D32" s="22" t="n">
        <v>5668</v>
      </c>
      <c r="E32" s="22" t="n">
        <v>5326</v>
      </c>
      <c r="F32" s="22" t="n">
        <v>6291</v>
      </c>
      <c r="G32" s="20" t="n">
        <f aca="false">F32</f>
        <v>6291</v>
      </c>
    </row>
    <row r="33" customFormat="false" ht="15" hidden="false" customHeight="false" outlineLevel="0" collapsed="false">
      <c r="B33" s="3" t="s">
        <v>161</v>
      </c>
      <c r="C33" s="22" t="n">
        <v>8228</v>
      </c>
      <c r="D33" s="22" t="n">
        <v>9356</v>
      </c>
      <c r="E33" s="22" t="n">
        <v>10787</v>
      </c>
      <c r="F33" s="22" t="n">
        <v>10260</v>
      </c>
      <c r="G33" s="20" t="n">
        <f aca="false">F33</f>
        <v>10260</v>
      </c>
    </row>
    <row r="34" customFormat="false" ht="15" hidden="false" customHeight="false" outlineLevel="0" collapsed="false">
      <c r="B34" s="3" t="s">
        <v>162</v>
      </c>
      <c r="C34" s="22" t="n">
        <v>2394</v>
      </c>
      <c r="D34" s="22" t="n">
        <v>1305</v>
      </c>
      <c r="E34" s="22" t="n">
        <v>817</v>
      </c>
      <c r="F34" s="22" t="n">
        <v>908</v>
      </c>
      <c r="G34" s="20" t="n">
        <f aca="false">F34</f>
        <v>908</v>
      </c>
    </row>
    <row r="35" customFormat="false" ht="15" hidden="false" customHeight="false" outlineLevel="0" collapsed="false">
      <c r="B35" s="14" t="s">
        <v>163</v>
      </c>
      <c r="C35" s="36" t="n">
        <f aca="false">C31+C32</f>
        <v>11007</v>
      </c>
      <c r="D35" s="36" t="n">
        <f aca="false">D31+D32</f>
        <v>13719</v>
      </c>
      <c r="E35" s="36" t="n">
        <f aca="false">E31+E32</f>
        <v>15296</v>
      </c>
      <c r="F35" s="36" t="n">
        <f aca="false">F31+F32</f>
        <v>15643</v>
      </c>
      <c r="G35" s="36" t="n">
        <f aca="false">G31+G32</f>
        <v>15643</v>
      </c>
    </row>
    <row r="36" customFormat="false" ht="15" hidden="false" customHeight="false" outlineLevel="0" collapsed="false">
      <c r="B36" s="3" t="s">
        <v>164</v>
      </c>
      <c r="C36" s="38" t="n">
        <f aca="false">C35/C10</f>
        <v>1.06584680933475</v>
      </c>
      <c r="D36" s="38" t="n">
        <f aca="false">D35/D10</f>
        <v>1.32987592089957</v>
      </c>
      <c r="G36" s="38" t="n">
        <f aca="false">G35/G10</f>
        <v>1.50124760076775</v>
      </c>
    </row>
    <row r="38" customFormat="false" ht="15" hidden="false" customHeight="false" outlineLevel="0" collapsed="false">
      <c r="A38" s="4"/>
      <c r="B38" s="5" t="s">
        <v>165</v>
      </c>
      <c r="C38" s="4"/>
      <c r="D38" s="25" t="s">
        <v>130</v>
      </c>
      <c r="E38" s="4"/>
      <c r="F38" s="25" t="s">
        <v>132</v>
      </c>
      <c r="G38" s="4"/>
      <c r="H38" s="4"/>
      <c r="I38" s="4"/>
    </row>
    <row r="39" customFormat="false" ht="15" hidden="false" customHeight="false" outlineLevel="0" collapsed="false">
      <c r="B39" s="3" t="s">
        <v>143</v>
      </c>
      <c r="D39" s="20" t="n">
        <f aca="false">D14</f>
        <v>7783</v>
      </c>
      <c r="F39" s="20" t="n">
        <f aca="false">F14</f>
        <v>2951</v>
      </c>
      <c r="I39" s="17" t="s">
        <v>166</v>
      </c>
    </row>
    <row r="40" customFormat="false" ht="15" hidden="false" customHeight="false" outlineLevel="0" collapsed="false">
      <c r="B40" s="3" t="s">
        <v>167</v>
      </c>
      <c r="D40" s="20" t="n">
        <f aca="false">D12</f>
        <v>1466</v>
      </c>
      <c r="F40" s="20" t="n">
        <f aca="false">F12</f>
        <v>768</v>
      </c>
      <c r="I40" s="17" t="s">
        <v>168</v>
      </c>
    </row>
    <row r="41" customFormat="false" ht="15" hidden="false" customHeight="false" outlineLevel="0" collapsed="false">
      <c r="B41" s="3" t="s">
        <v>169</v>
      </c>
      <c r="D41" s="20" t="n">
        <f aca="false">-(D26+D27)</f>
        <v>-1682</v>
      </c>
      <c r="F41" s="20" t="n">
        <f aca="false">-(F26+F27)</f>
        <v>-924</v>
      </c>
      <c r="I41" s="17" t="s">
        <v>170</v>
      </c>
    </row>
    <row r="42" customFormat="false" ht="15" hidden="false" customHeight="false" outlineLevel="0" collapsed="false">
      <c r="B42" s="14" t="s">
        <v>171</v>
      </c>
      <c r="D42" s="36" t="n">
        <f aca="false">SUM(D39:D41)</f>
        <v>7567</v>
      </c>
      <c r="F42" s="36" t="n">
        <f aca="false">SUM(F39:F41)</f>
        <v>2795</v>
      </c>
      <c r="I42" s="17" t="s">
        <v>172</v>
      </c>
    </row>
    <row r="43" customFormat="false" ht="15" hidden="false" customHeight="false" outlineLevel="0" collapsed="false">
      <c r="B43" s="3" t="s">
        <v>173</v>
      </c>
      <c r="D43" s="20" t="n">
        <f aca="false">-D42*Inputs!$D$39</f>
        <v>-1891.75</v>
      </c>
      <c r="F43" s="20" t="n">
        <f aca="false">-F42*Inputs!$D$39</f>
        <v>-698.75</v>
      </c>
    </row>
    <row r="44" customFormat="false" ht="15" hidden="false" customHeight="false" outlineLevel="0" collapsed="false">
      <c r="B44" s="3" t="s">
        <v>174</v>
      </c>
      <c r="D44" s="20" t="n">
        <f aca="false">D13</f>
        <v>1067</v>
      </c>
      <c r="F44" s="20" t="n">
        <f aca="false">F13</f>
        <v>560</v>
      </c>
    </row>
    <row r="45" customFormat="false" ht="15" hidden="false" customHeight="false" outlineLevel="0" collapsed="false">
      <c r="B45" s="3" t="s">
        <v>175</v>
      </c>
      <c r="D45" s="20" t="n">
        <f aca="false">-D25</f>
        <v>-1943</v>
      </c>
      <c r="F45" s="20" t="n">
        <f aca="false">-F25</f>
        <v>-899</v>
      </c>
    </row>
    <row r="46" customFormat="false" ht="15" hidden="false" customHeight="false" outlineLevel="0" collapsed="false">
      <c r="B46" s="3" t="s">
        <v>176</v>
      </c>
      <c r="D46" s="20" t="n">
        <f aca="false">-(D29-C29)</f>
        <v>-158</v>
      </c>
      <c r="F46" s="20" t="n">
        <f aca="false">-(F29-D29)</f>
        <v>-1348</v>
      </c>
    </row>
    <row r="47" customFormat="false" ht="15" hidden="false" customHeight="false" outlineLevel="0" collapsed="false">
      <c r="B47" s="14" t="s">
        <v>177</v>
      </c>
      <c r="D47" s="36" t="n">
        <f aca="false">D42+D43+D44+D45+D46</f>
        <v>4641.25</v>
      </c>
      <c r="F47" s="36" t="n">
        <f aca="false">F42+F43+F44+F45+F46</f>
        <v>409.25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9" min="3" style="0" width="12"/>
  </cols>
  <sheetData>
    <row r="1" customFormat="false" ht="17.35" hidden="false" customHeight="false" outlineLevel="0" collapsed="false">
      <c r="B1" s="16" t="s">
        <v>178</v>
      </c>
    </row>
    <row r="2" customFormat="false" ht="15" hidden="false" customHeight="false" outlineLevel="0" collapsed="false">
      <c r="B2" s="17" t="s">
        <v>179</v>
      </c>
    </row>
    <row r="4" customFormat="false" ht="15" hidden="false" customHeight="false" outlineLevel="0" collapsed="false">
      <c r="A4" s="4"/>
      <c r="B4" s="5" t="s">
        <v>128</v>
      </c>
      <c r="C4" s="25" t="s">
        <v>180</v>
      </c>
      <c r="D4" s="25" t="s">
        <v>62</v>
      </c>
      <c r="E4" s="25" t="s">
        <v>63</v>
      </c>
      <c r="F4" s="25" t="s">
        <v>64</v>
      </c>
      <c r="G4" s="25" t="s">
        <v>65</v>
      </c>
      <c r="H4" s="25" t="s">
        <v>66</v>
      </c>
      <c r="I4" s="25" t="s">
        <v>67</v>
      </c>
    </row>
    <row r="5" customFormat="false" ht="15" hidden="false" customHeight="false" outlineLevel="0" collapsed="false">
      <c r="B5" s="14" t="s">
        <v>134</v>
      </c>
      <c r="C5" s="39" t="n">
        <f aca="false">Historicals!D5</f>
        <v>32549</v>
      </c>
      <c r="D5" s="36" t="n">
        <f aca="false">C5*(1+Inputs!D25)</f>
        <v>32972.137</v>
      </c>
      <c r="E5" s="36" t="n">
        <f aca="false">D5*(1+Inputs!E25)</f>
        <v>34291.02248</v>
      </c>
      <c r="F5" s="36" t="n">
        <f aca="false">E5*(1+Inputs!F25)</f>
        <v>36005.573604</v>
      </c>
      <c r="G5" s="36" t="n">
        <f aca="false">F5*(1+Inputs!G25)</f>
        <v>37805.8522842</v>
      </c>
      <c r="H5" s="36" t="n">
        <f aca="false">G5*(1+Inputs!H25)</f>
        <v>39507.115636989</v>
      </c>
      <c r="I5" s="36" t="n">
        <f aca="false">H5*(1+Inputs!I25)</f>
        <v>41087.4002624686</v>
      </c>
    </row>
    <row r="6" customFormat="false" ht="15" hidden="false" customHeight="false" outlineLevel="0" collapsed="false">
      <c r="B6" s="3" t="s">
        <v>181</v>
      </c>
      <c r="C6" s="30" t="n">
        <f aca="false">Historicals!D5/Historicals!C5-1</f>
        <v>0.0274305555555556</v>
      </c>
      <c r="D6" s="30" t="n">
        <f aca="false">D5/C5-1</f>
        <v>0.0129999999999999</v>
      </c>
      <c r="E6" s="30" t="n">
        <f aca="false">E5/D5-1</f>
        <v>0.04</v>
      </c>
      <c r="F6" s="30" t="n">
        <f aca="false">F5/E5-1</f>
        <v>0.05</v>
      </c>
      <c r="G6" s="30" t="n">
        <f aca="false">G5/F5-1</f>
        <v>0.05</v>
      </c>
      <c r="H6" s="30" t="n">
        <f aca="false">H5/G5-1</f>
        <v>0.0449999999999999</v>
      </c>
      <c r="I6" s="30" t="n">
        <f aca="false">I5/H5-1</f>
        <v>0.04</v>
      </c>
    </row>
    <row r="7" customFormat="false" ht="15" hidden="false" customHeight="false" outlineLevel="0" collapsed="false">
      <c r="B7" s="3" t="s">
        <v>144</v>
      </c>
      <c r="C7" s="40" t="n">
        <f aca="false">Historicals!D15</f>
        <v>0.239116409106271</v>
      </c>
      <c r="D7" s="40" t="n">
        <f aca="false">Inputs!D31</f>
        <v>0.225</v>
      </c>
      <c r="E7" s="40" t="n">
        <f aca="false">Inputs!E31</f>
        <v>0.145</v>
      </c>
      <c r="F7" s="40" t="n">
        <f aca="false">Inputs!F31</f>
        <v>0.195</v>
      </c>
      <c r="G7" s="40" t="n">
        <f aca="false">Inputs!G31</f>
        <v>0.215</v>
      </c>
      <c r="H7" s="40" t="n">
        <f aca="false">Inputs!H31</f>
        <v>0.225</v>
      </c>
      <c r="I7" s="40" t="n">
        <f aca="false">Inputs!I31</f>
        <v>0.23</v>
      </c>
    </row>
    <row r="8" customFormat="false" ht="15" hidden="false" customHeight="false" outlineLevel="0" collapsed="false">
      <c r="B8" s="14" t="s">
        <v>143</v>
      </c>
      <c r="C8" s="39" t="n">
        <f aca="false">Historicals!D14</f>
        <v>7783</v>
      </c>
      <c r="D8" s="36" t="n">
        <f aca="false">D5*D7</f>
        <v>7418.730825</v>
      </c>
      <c r="E8" s="36" t="n">
        <f aca="false">E5*E7</f>
        <v>4972.1982596</v>
      </c>
      <c r="F8" s="36" t="n">
        <f aca="false">F5*F7</f>
        <v>7021.08685278</v>
      </c>
      <c r="G8" s="36" t="n">
        <f aca="false">G5*G7</f>
        <v>8128.258241103</v>
      </c>
      <c r="H8" s="36" t="n">
        <f aca="false">H5*H7</f>
        <v>8889.10101832253</v>
      </c>
      <c r="I8" s="36" t="n">
        <f aca="false">I5*I7</f>
        <v>9450.10206036777</v>
      </c>
    </row>
    <row r="9" customFormat="false" ht="15" hidden="false" customHeight="false" outlineLevel="0" collapsed="false">
      <c r="B9" s="3" t="s">
        <v>182</v>
      </c>
      <c r="C9" s="21" t="n">
        <f aca="false">Historicals!D12</f>
        <v>1466</v>
      </c>
      <c r="D9" s="20" t="n">
        <f aca="false">D5*Inputs!D34</f>
        <v>1516.718302</v>
      </c>
      <c r="E9" s="20" t="n">
        <f aca="false">E5*Inputs!E34</f>
        <v>1577.38703408</v>
      </c>
      <c r="F9" s="20" t="n">
        <f aca="false">F5*Inputs!F34</f>
        <v>1656.256385784</v>
      </c>
      <c r="G9" s="20" t="n">
        <f aca="false">G5*Inputs!G34</f>
        <v>1739.0692050732</v>
      </c>
      <c r="H9" s="20" t="n">
        <f aca="false">H5*Inputs!H34</f>
        <v>1817.32731930149</v>
      </c>
      <c r="I9" s="20" t="n">
        <f aca="false">I5*Inputs!I34</f>
        <v>1890.02041207355</v>
      </c>
    </row>
    <row r="10" customFormat="false" ht="15" hidden="false" customHeight="false" outlineLevel="0" collapsed="false">
      <c r="B10" s="3" t="s">
        <v>183</v>
      </c>
      <c r="C10" s="21" t="n">
        <f aca="false">Historicals!D13</f>
        <v>1067</v>
      </c>
      <c r="D10" s="20" t="n">
        <f aca="false">D5*Inputs!D36</f>
        <v>1154.024795</v>
      </c>
      <c r="E10" s="20" t="n">
        <f aca="false">E5*Inputs!E36</f>
        <v>1200.1857868</v>
      </c>
      <c r="F10" s="20" t="n">
        <f aca="false">F5*Inputs!F36</f>
        <v>1260.19507614</v>
      </c>
      <c r="G10" s="20" t="n">
        <f aca="false">G5*Inputs!G36</f>
        <v>1323.204829947</v>
      </c>
      <c r="H10" s="20" t="n">
        <f aca="false">H5*Inputs!H36</f>
        <v>1382.74904729462</v>
      </c>
      <c r="I10" s="20" t="n">
        <f aca="false">I5*Inputs!I36</f>
        <v>1438.0590091864</v>
      </c>
    </row>
    <row r="11" customFormat="false" ht="15" hidden="false" customHeight="false" outlineLevel="0" collapsed="false">
      <c r="B11" s="14" t="s">
        <v>139</v>
      </c>
      <c r="C11" s="36" t="n">
        <f aca="false">C8+C9+C10</f>
        <v>10316</v>
      </c>
      <c r="D11" s="36" t="n">
        <f aca="false">D8+D9+D10</f>
        <v>10089.473922</v>
      </c>
      <c r="E11" s="36" t="n">
        <f aca="false">E8+E9+E10</f>
        <v>7749.77108048</v>
      </c>
      <c r="F11" s="36" t="n">
        <f aca="false">F8+F9+F10</f>
        <v>9937.538314704</v>
      </c>
      <c r="G11" s="36" t="n">
        <f aca="false">G8+G9+G10</f>
        <v>11190.5322761232</v>
      </c>
      <c r="H11" s="36" t="n">
        <f aca="false">H8+H9+H10</f>
        <v>12089.1773849186</v>
      </c>
      <c r="I11" s="36" t="n">
        <f aca="false">I8+I9+I10</f>
        <v>12778.1814816277</v>
      </c>
    </row>
    <row r="12" customFormat="false" ht="15" hidden="false" customHeight="false" outlineLevel="0" collapsed="false">
      <c r="B12" s="3" t="s">
        <v>184</v>
      </c>
      <c r="C12" s="30" t="n">
        <f aca="false">C11/C5</f>
        <v>0.31693754032382</v>
      </c>
      <c r="D12" s="30" t="n">
        <f aca="false">D11/D5</f>
        <v>0.306</v>
      </c>
      <c r="E12" s="30" t="n">
        <f aca="false">E11/E5</f>
        <v>0.226</v>
      </c>
      <c r="F12" s="30" t="n">
        <f aca="false">F11/F5</f>
        <v>0.276</v>
      </c>
      <c r="G12" s="30" t="n">
        <f aca="false">G11/G5</f>
        <v>0.296</v>
      </c>
      <c r="H12" s="30" t="n">
        <f aca="false">H11/H5</f>
        <v>0.306</v>
      </c>
      <c r="I12" s="30" t="n">
        <f aca="false">I11/I5</f>
        <v>0.311</v>
      </c>
    </row>
    <row r="13" customFormat="false" ht="15" hidden="false" customHeight="false" outlineLevel="0" collapsed="false">
      <c r="B13" s="3" t="s">
        <v>185</v>
      </c>
      <c r="C13" s="21" t="n">
        <f aca="false">Historicals!D16</f>
        <v>-870</v>
      </c>
      <c r="D13" s="20" t="n">
        <f aca="false">-Inputs!D40</f>
        <v>-1125</v>
      </c>
      <c r="E13" s="20" t="n">
        <f aca="false">-Inputs!E40</f>
        <v>-1000</v>
      </c>
      <c r="F13" s="20" t="n">
        <f aca="false">-Inputs!F40</f>
        <v>-950</v>
      </c>
      <c r="G13" s="20" t="n">
        <f aca="false">-Inputs!G40</f>
        <v>-900</v>
      </c>
      <c r="H13" s="20" t="n">
        <f aca="false">-Inputs!H40</f>
        <v>-900</v>
      </c>
      <c r="I13" s="20" t="n">
        <f aca="false">-Inputs!I40</f>
        <v>-900</v>
      </c>
    </row>
    <row r="14" customFormat="false" ht="15" hidden="false" customHeight="false" outlineLevel="0" collapsed="false">
      <c r="B14" s="3" t="s">
        <v>148</v>
      </c>
      <c r="C14" s="20" t="n">
        <f aca="false">C8+C13</f>
        <v>6913</v>
      </c>
      <c r="D14" s="20" t="n">
        <f aca="false">D8+D13</f>
        <v>6293.730825</v>
      </c>
      <c r="E14" s="20" t="n">
        <f aca="false">E8+E13</f>
        <v>3972.1982596</v>
      </c>
      <c r="F14" s="20" t="n">
        <f aca="false">F8+F13</f>
        <v>6071.08685278</v>
      </c>
      <c r="G14" s="20" t="n">
        <f aca="false">G8+G13</f>
        <v>7228.258241103</v>
      </c>
      <c r="H14" s="20" t="n">
        <f aca="false">H8+H13</f>
        <v>7989.10101832253</v>
      </c>
      <c r="I14" s="20" t="n">
        <f aca="false">I8+I13</f>
        <v>8550.10206036777</v>
      </c>
    </row>
    <row r="15" customFormat="false" ht="15" hidden="false" customHeight="false" outlineLevel="0" collapsed="false">
      <c r="B15" s="3" t="s">
        <v>149</v>
      </c>
      <c r="C15" s="21" t="n">
        <f aca="false">Historicals!D18</f>
        <v>-1671</v>
      </c>
      <c r="D15" s="20" t="n">
        <f aca="false">-D14*Inputs!D39</f>
        <v>-1573.43270625</v>
      </c>
      <c r="E15" s="20" t="n">
        <f aca="false">-E14*Inputs!E39</f>
        <v>-993.0495649</v>
      </c>
      <c r="F15" s="20" t="n">
        <f aca="false">-F14*Inputs!F39</f>
        <v>-1517.771713195</v>
      </c>
      <c r="G15" s="20" t="n">
        <f aca="false">-G14*Inputs!G39</f>
        <v>-1807.06456027575</v>
      </c>
      <c r="H15" s="20" t="n">
        <f aca="false">-H14*Inputs!H39</f>
        <v>-1997.27525458063</v>
      </c>
      <c r="I15" s="20" t="n">
        <f aca="false">-I14*Inputs!I39</f>
        <v>-2137.52551509194</v>
      </c>
    </row>
    <row r="16" customFormat="false" ht="15" hidden="false" customHeight="false" outlineLevel="0" collapsed="false">
      <c r="B16" s="14" t="s">
        <v>150</v>
      </c>
      <c r="C16" s="36" t="n">
        <f aca="false">C14+C15</f>
        <v>5242</v>
      </c>
      <c r="D16" s="36" t="n">
        <f aca="false">D14+D15</f>
        <v>4720.29811875</v>
      </c>
      <c r="E16" s="36" t="n">
        <f aca="false">E14+E15</f>
        <v>2979.1486947</v>
      </c>
      <c r="F16" s="36" t="n">
        <f aca="false">F14+F15</f>
        <v>4553.315139585</v>
      </c>
      <c r="G16" s="36" t="n">
        <f aca="false">G14+G15</f>
        <v>5421.19368082725</v>
      </c>
      <c r="H16" s="36" t="n">
        <f aca="false">H14+H15</f>
        <v>5991.8257637419</v>
      </c>
      <c r="I16" s="36" t="n">
        <f aca="false">I14+I15</f>
        <v>6412.57654527583</v>
      </c>
    </row>
    <row r="17" customFormat="false" ht="15" hidden="false" customHeight="false" outlineLevel="0" collapsed="false">
      <c r="B17" s="3" t="s">
        <v>50</v>
      </c>
      <c r="C17" s="41" t="n">
        <f aca="false">Inputs!C6</f>
        <v>74.8</v>
      </c>
      <c r="D17" s="42" t="n">
        <f aca="false">Inputs!$C$6</f>
        <v>74.8</v>
      </c>
      <c r="E17" s="42" t="n">
        <f aca="false">Inputs!$C$6</f>
        <v>74.8</v>
      </c>
      <c r="F17" s="42" t="n">
        <f aca="false">Inputs!$C$6</f>
        <v>74.8</v>
      </c>
      <c r="G17" s="42" t="n">
        <f aca="false">Inputs!$C$6</f>
        <v>74.8</v>
      </c>
      <c r="H17" s="42" t="n">
        <f aca="false">Inputs!$C$6</f>
        <v>74.8</v>
      </c>
      <c r="I17" s="42" t="n">
        <f aca="false">Inputs!$C$6</f>
        <v>74.8</v>
      </c>
    </row>
    <row r="18" customFormat="false" ht="15" hidden="false" customHeight="false" outlineLevel="0" collapsed="false">
      <c r="B18" s="14" t="s">
        <v>186</v>
      </c>
      <c r="C18" s="43" t="n">
        <f aca="false">Historicals!D20</f>
        <v>68.1</v>
      </c>
      <c r="D18" s="44" t="n">
        <f aca="false">D16/D17</f>
        <v>63.105589822861</v>
      </c>
      <c r="E18" s="44" t="n">
        <f aca="false">E16/E17</f>
        <v>39.828191105615</v>
      </c>
      <c r="F18" s="44" t="n">
        <f aca="false">F16/F17</f>
        <v>60.8731970532754</v>
      </c>
      <c r="G18" s="44" t="n">
        <f aca="false">G16/G17</f>
        <v>72.4758513479579</v>
      </c>
      <c r="H18" s="44" t="n">
        <f aca="false">H16/H17</f>
        <v>80.1046225099184</v>
      </c>
      <c r="I18" s="44" t="n">
        <f aca="false">I16/I17</f>
        <v>85.729632958233</v>
      </c>
    </row>
    <row r="19" customFormat="false" ht="15" hidden="false" customHeight="false" outlineLevel="0" collapsed="false">
      <c r="B19" s="3" t="s">
        <v>187</v>
      </c>
      <c r="D19" s="30" t="n">
        <f aca="false">D18/C18-1</f>
        <v>-0.073339356492497</v>
      </c>
      <c r="E19" s="30" t="n">
        <f aca="false">E18/D18-1</f>
        <v>-0.368864292094983</v>
      </c>
      <c r="F19" s="30" t="n">
        <f aca="false">F18/E18-1</f>
        <v>0.528394721514067</v>
      </c>
      <c r="G19" s="30" t="n">
        <f aca="false">G18/F18-1</f>
        <v>0.190603662306877</v>
      </c>
      <c r="H19" s="30" t="n">
        <f aca="false">H18/G18-1</f>
        <v>0.105259490162242</v>
      </c>
      <c r="I19" s="30" t="n">
        <f aca="false">I18/H18-1</f>
        <v>0.0702207971533495</v>
      </c>
    </row>
    <row r="21" customFormat="false" ht="15" hidden="false" customHeight="false" outlineLevel="0" collapsed="false">
      <c r="A21" s="4"/>
      <c r="B21" s="5" t="s">
        <v>188</v>
      </c>
      <c r="C21" s="25" t="s">
        <v>180</v>
      </c>
      <c r="D21" s="25" t="s">
        <v>62</v>
      </c>
      <c r="E21" s="25" t="s">
        <v>63</v>
      </c>
      <c r="F21" s="25" t="s">
        <v>64</v>
      </c>
      <c r="G21" s="25" t="s">
        <v>65</v>
      </c>
      <c r="H21" s="25" t="s">
        <v>66</v>
      </c>
      <c r="I21" s="25" t="s">
        <v>67</v>
      </c>
    </row>
    <row r="22" customFormat="false" ht="15" hidden="false" customHeight="false" outlineLevel="0" collapsed="false">
      <c r="B22" s="3" t="s">
        <v>143</v>
      </c>
      <c r="C22" s="20" t="n">
        <f aca="false">C8</f>
        <v>7783</v>
      </c>
      <c r="D22" s="20" t="n">
        <f aca="false">D8</f>
        <v>7418.730825</v>
      </c>
      <c r="E22" s="20" t="n">
        <f aca="false">E8</f>
        <v>4972.1982596</v>
      </c>
      <c r="F22" s="20" t="n">
        <f aca="false">F8</f>
        <v>7021.08685278</v>
      </c>
      <c r="G22" s="20" t="n">
        <f aca="false">G8</f>
        <v>8128.258241103</v>
      </c>
      <c r="H22" s="20" t="n">
        <f aca="false">H8</f>
        <v>8889.10101832253</v>
      </c>
      <c r="I22" s="20" t="n">
        <f aca="false">I8</f>
        <v>9450.10206036777</v>
      </c>
    </row>
    <row r="23" customFormat="false" ht="15" hidden="false" customHeight="false" outlineLevel="0" collapsed="false">
      <c r="B23" s="3" t="s">
        <v>167</v>
      </c>
      <c r="C23" s="20" t="n">
        <f aca="false">C9</f>
        <v>1466</v>
      </c>
      <c r="D23" s="20" t="n">
        <f aca="false">D9</f>
        <v>1516.718302</v>
      </c>
      <c r="E23" s="20" t="n">
        <f aca="false">E9</f>
        <v>1577.38703408</v>
      </c>
      <c r="F23" s="20" t="n">
        <f aca="false">F9</f>
        <v>1656.256385784</v>
      </c>
      <c r="G23" s="20" t="n">
        <f aca="false">G9</f>
        <v>1739.0692050732</v>
      </c>
      <c r="H23" s="20" t="n">
        <f aca="false">H9</f>
        <v>1817.32731930149</v>
      </c>
      <c r="I23" s="20" t="n">
        <f aca="false">I9</f>
        <v>1890.02041207355</v>
      </c>
    </row>
    <row r="24" customFormat="false" ht="15" hidden="false" customHeight="false" outlineLevel="0" collapsed="false">
      <c r="B24" s="3" t="s">
        <v>169</v>
      </c>
      <c r="C24" s="21" t="n">
        <f aca="false">Historicals!D41</f>
        <v>-1682</v>
      </c>
      <c r="D24" s="20" t="n">
        <f aca="false">-D5*Inputs!D35</f>
        <v>-1747.523261</v>
      </c>
      <c r="E24" s="20" t="n">
        <f aca="false">-E5*Inputs!E35</f>
        <v>-1817.42419144</v>
      </c>
      <c r="F24" s="20" t="n">
        <f aca="false">-F5*Inputs!F35</f>
        <v>-1908.295401012</v>
      </c>
      <c r="G24" s="20" t="n">
        <f aca="false">-G5*Inputs!G35</f>
        <v>-2003.7101710626</v>
      </c>
      <c r="H24" s="20" t="n">
        <f aca="false">-H5*Inputs!H35</f>
        <v>-2093.87712876042</v>
      </c>
      <c r="I24" s="20" t="n">
        <f aca="false">-I5*Inputs!I35</f>
        <v>-2177.63221391083</v>
      </c>
    </row>
    <row r="25" customFormat="false" ht="15" hidden="false" customHeight="false" outlineLevel="0" collapsed="false">
      <c r="B25" s="14" t="s">
        <v>171</v>
      </c>
      <c r="C25" s="36" t="n">
        <f aca="false">C22+C23+C24</f>
        <v>7567</v>
      </c>
      <c r="D25" s="36" t="n">
        <f aca="false">D22+D23+D24</f>
        <v>7187.925866</v>
      </c>
      <c r="E25" s="36" t="n">
        <f aca="false">E22+E23+E24</f>
        <v>4732.16110224</v>
      </c>
      <c r="F25" s="36" t="n">
        <f aca="false">F22+F23+F24</f>
        <v>6769.047837552</v>
      </c>
      <c r="G25" s="36" t="n">
        <f aca="false">G22+G23+G24</f>
        <v>7863.6172751136</v>
      </c>
      <c r="H25" s="36" t="n">
        <f aca="false">H22+H23+H24</f>
        <v>8612.5512088636</v>
      </c>
      <c r="I25" s="36" t="n">
        <f aca="false">I22+I23+I24</f>
        <v>9162.49025853049</v>
      </c>
    </row>
    <row r="26" customFormat="false" ht="15" hidden="false" customHeight="false" outlineLevel="0" collapsed="false">
      <c r="B26" s="3" t="s">
        <v>173</v>
      </c>
      <c r="C26" s="20" t="n">
        <f aca="false">-C25*Inputs!D39</f>
        <v>-1891.75</v>
      </c>
      <c r="D26" s="20" t="n">
        <f aca="false">-D25*Inputs!D39</f>
        <v>-1796.9814665</v>
      </c>
      <c r="E26" s="20" t="n">
        <f aca="false">-E25*Inputs!E39</f>
        <v>-1183.04027556</v>
      </c>
      <c r="F26" s="20" t="n">
        <f aca="false">-F25*Inputs!F39</f>
        <v>-1692.261959388</v>
      </c>
      <c r="G26" s="20" t="n">
        <f aca="false">-G25*Inputs!G39</f>
        <v>-1965.9043187784</v>
      </c>
      <c r="H26" s="20" t="n">
        <f aca="false">-H25*Inputs!H39</f>
        <v>-2153.1378022159</v>
      </c>
      <c r="I26" s="20" t="n">
        <f aca="false">-I25*Inputs!I39</f>
        <v>-2290.62256463262</v>
      </c>
    </row>
    <row r="27" customFormat="false" ht="15" hidden="false" customHeight="false" outlineLevel="0" collapsed="false">
      <c r="B27" s="14" t="s">
        <v>189</v>
      </c>
      <c r="C27" s="36" t="n">
        <f aca="false">C25+C26</f>
        <v>5675.25</v>
      </c>
      <c r="D27" s="36" t="n">
        <f aca="false">D25+D26</f>
        <v>5390.9443995</v>
      </c>
      <c r="E27" s="36" t="n">
        <f aca="false">E25+E26</f>
        <v>3549.12082668</v>
      </c>
      <c r="F27" s="36" t="n">
        <f aca="false">F25+F26</f>
        <v>5076.785878164</v>
      </c>
      <c r="G27" s="36" t="n">
        <f aca="false">G25+G26</f>
        <v>5897.7129563352</v>
      </c>
      <c r="H27" s="36" t="n">
        <f aca="false">H25+H26</f>
        <v>6459.4134066477</v>
      </c>
      <c r="I27" s="36" t="n">
        <f aca="false">I25+I26</f>
        <v>6871.86769389787</v>
      </c>
    </row>
    <row r="28" customFormat="false" ht="15" hidden="false" customHeight="false" outlineLevel="0" collapsed="false">
      <c r="B28" s="3" t="s">
        <v>174</v>
      </c>
      <c r="C28" s="20" t="n">
        <f aca="false">C10</f>
        <v>1067</v>
      </c>
      <c r="D28" s="20" t="n">
        <f aca="false">D10</f>
        <v>1154.024795</v>
      </c>
      <c r="E28" s="20" t="n">
        <f aca="false">E10</f>
        <v>1200.1857868</v>
      </c>
      <c r="F28" s="20" t="n">
        <f aca="false">F10</f>
        <v>1260.19507614</v>
      </c>
      <c r="G28" s="20" t="n">
        <f aca="false">G10</f>
        <v>1323.204829947</v>
      </c>
      <c r="H28" s="20" t="n">
        <f aca="false">H10</f>
        <v>1382.74904729462</v>
      </c>
      <c r="I28" s="20" t="n">
        <f aca="false">I10</f>
        <v>1438.0590091864</v>
      </c>
    </row>
    <row r="29" customFormat="false" ht="15" hidden="false" customHeight="false" outlineLevel="0" collapsed="false">
      <c r="B29" s="3" t="s">
        <v>175</v>
      </c>
      <c r="C29" s="21" t="n">
        <f aca="false">-Historicals!D25</f>
        <v>-1943</v>
      </c>
      <c r="D29" s="20" t="n">
        <f aca="false">-D5*Inputs!D37</f>
        <v>-2308.04959</v>
      </c>
      <c r="E29" s="20" t="n">
        <f aca="false">-E5*Inputs!E37</f>
        <v>-2228.9164612</v>
      </c>
      <c r="F29" s="20" t="n">
        <f aca="false">-F5*Inputs!F37</f>
        <v>-2160.33441624</v>
      </c>
      <c r="G29" s="20" t="n">
        <f aca="false">-G5*Inputs!G37</f>
        <v>-2268.351137052</v>
      </c>
      <c r="H29" s="20" t="n">
        <f aca="false">-H5*Inputs!H37</f>
        <v>-2291.41270694536</v>
      </c>
      <c r="I29" s="20" t="n">
        <f aca="false">-I5*Inputs!I37</f>
        <v>-2383.06921522318</v>
      </c>
    </row>
    <row r="30" customFormat="false" ht="15" hidden="false" customHeight="false" outlineLevel="0" collapsed="false">
      <c r="B30" s="3" t="s">
        <v>190</v>
      </c>
      <c r="C30" s="21" t="n">
        <f aca="false">Historicals!D29</f>
        <v>-352</v>
      </c>
      <c r="D30" s="20" t="n">
        <f aca="false">D5*Inputs!D38</f>
        <v>494.582055</v>
      </c>
      <c r="E30" s="20" t="n">
        <f aca="false">E5*Inputs!E38</f>
        <v>685.8204496</v>
      </c>
      <c r="F30" s="20" t="n">
        <f aca="false">F5*Inputs!F38</f>
        <v>360.05573604</v>
      </c>
      <c r="G30" s="20" t="n">
        <f aca="false">G5*Inputs!G38</f>
        <v>189.029261421</v>
      </c>
      <c r="H30" s="20" t="n">
        <f aca="false">H5*Inputs!H38</f>
        <v>197.535578184945</v>
      </c>
      <c r="I30" s="20" t="n">
        <f aca="false">I5*Inputs!I38</f>
        <v>205.437001312343</v>
      </c>
    </row>
    <row r="31" customFormat="false" ht="15" hidden="false" customHeight="false" outlineLevel="0" collapsed="false">
      <c r="B31" s="3" t="s">
        <v>191</v>
      </c>
      <c r="C31" s="21" t="n">
        <f aca="false">-(Historicals!D29-Historicals!C29)</f>
        <v>-158</v>
      </c>
      <c r="D31" s="20" t="n">
        <f aca="false">-(D30-C30)</f>
        <v>-846.582055</v>
      </c>
      <c r="E31" s="20" t="n">
        <f aca="false">-(E30-D30)</f>
        <v>-191.2383946</v>
      </c>
      <c r="F31" s="20" t="n">
        <f aca="false">-(F30-E30)</f>
        <v>325.76471356</v>
      </c>
      <c r="G31" s="20" t="n">
        <f aca="false">-(G30-F30)</f>
        <v>171.026474619</v>
      </c>
      <c r="H31" s="20" t="n">
        <f aca="false">-(H30-G30)</f>
        <v>-8.50631676394499</v>
      </c>
      <c r="I31" s="20" t="n">
        <f aca="false">-(I30-H30)</f>
        <v>-7.90142312739778</v>
      </c>
    </row>
    <row r="32" customFormat="false" ht="15" hidden="false" customHeight="false" outlineLevel="0" collapsed="false">
      <c r="B32" s="14" t="s">
        <v>177</v>
      </c>
      <c r="C32" s="36" t="n">
        <f aca="false">C27+C28+C29+C31</f>
        <v>4641.25</v>
      </c>
      <c r="D32" s="36" t="n">
        <f aca="false">D27+D28+D29+D31</f>
        <v>3390.3375495</v>
      </c>
      <c r="E32" s="36" t="n">
        <f aca="false">E27+E28+E29+E31</f>
        <v>2329.15175768</v>
      </c>
      <c r="F32" s="36" t="n">
        <f aca="false">F27+F28+F29+F31</f>
        <v>4502.411251624</v>
      </c>
      <c r="G32" s="36" t="n">
        <f aca="false">G27+G28+G29+G31</f>
        <v>5123.5931238492</v>
      </c>
      <c r="H32" s="36" t="n">
        <f aca="false">H27+H28+H29+H31</f>
        <v>5542.24343023301</v>
      </c>
      <c r="I32" s="36" t="n">
        <f aca="false">I27+I28+I29+I31</f>
        <v>5918.9560647337</v>
      </c>
    </row>
    <row r="33" customFormat="false" ht="15" hidden="false" customHeight="false" outlineLevel="0" collapsed="false">
      <c r="B33" s="3" t="s">
        <v>192</v>
      </c>
      <c r="C33" s="30" t="n">
        <f aca="false">C32/C5</f>
        <v>0.142592706381148</v>
      </c>
      <c r="D33" s="30" t="n">
        <f aca="false">D32/D5</f>
        <v>0.102824319500432</v>
      </c>
      <c r="E33" s="30" t="n">
        <f aca="false">E32/E5</f>
        <v>0.067923076923077</v>
      </c>
      <c r="F33" s="30" t="n">
        <f aca="false">F32/F5</f>
        <v>0.125047619047619</v>
      </c>
      <c r="G33" s="30" t="n">
        <f aca="false">G32/G5</f>
        <v>0.13552380952381</v>
      </c>
      <c r="H33" s="30" t="n">
        <f aca="false">H32/H5</f>
        <v>0.140284688995215</v>
      </c>
      <c r="I33" s="30" t="n">
        <f aca="false">I32/I5</f>
        <v>0.144057692307692</v>
      </c>
    </row>
    <row r="35" customFormat="false" ht="15" hidden="false" customHeight="false" outlineLevel="0" collapsed="false">
      <c r="A35" s="4"/>
      <c r="B35" s="5" t="s">
        <v>193</v>
      </c>
      <c r="C35" s="25" t="s">
        <v>180</v>
      </c>
      <c r="D35" s="25" t="s">
        <v>62</v>
      </c>
      <c r="E35" s="25" t="s">
        <v>63</v>
      </c>
      <c r="F35" s="25" t="s">
        <v>64</v>
      </c>
      <c r="G35" s="25" t="s">
        <v>65</v>
      </c>
      <c r="H35" s="25" t="s">
        <v>66</v>
      </c>
      <c r="I35" s="25" t="s">
        <v>67</v>
      </c>
    </row>
    <row r="36" customFormat="false" ht="15" hidden="false" customHeight="false" outlineLevel="0" collapsed="false">
      <c r="B36" s="3" t="s">
        <v>194</v>
      </c>
      <c r="C36" s="20" t="n">
        <f aca="false">C11+C24</f>
        <v>8634</v>
      </c>
      <c r="D36" s="20" t="n">
        <f aca="false">D11+D24</f>
        <v>8341.950661</v>
      </c>
      <c r="E36" s="20" t="n">
        <f aca="false">E11+E24</f>
        <v>5932.34688904</v>
      </c>
      <c r="F36" s="20" t="n">
        <f aca="false">F11+F24</f>
        <v>8029.242913692</v>
      </c>
      <c r="G36" s="20" t="n">
        <f aca="false">G11+G24</f>
        <v>9186.8221050606</v>
      </c>
      <c r="H36" s="20" t="n">
        <f aca="false">H11+H24</f>
        <v>9995.30025615822</v>
      </c>
      <c r="I36" s="20" t="n">
        <f aca="false">I11+I24</f>
        <v>10600.5492677169</v>
      </c>
    </row>
    <row r="37" customFormat="false" ht="15" hidden="false" customHeight="false" outlineLevel="0" collapsed="false">
      <c r="B37" s="3" t="s">
        <v>195</v>
      </c>
      <c r="C37" s="38" t="n">
        <f aca="false">Inputs!$C$5/C18</f>
        <v>12.1497797356828</v>
      </c>
      <c r="D37" s="38" t="n">
        <f aca="false">Inputs!$C$5/D18</f>
        <v>13.1113583174253</v>
      </c>
      <c r="E37" s="38" t="n">
        <f aca="false">Inputs!$C$5/E18</f>
        <v>20.7742299369291</v>
      </c>
      <c r="F37" s="38" t="n">
        <f aca="false">Inputs!$C$5/F18</f>
        <v>13.5921890101463</v>
      </c>
      <c r="G37" s="38" t="n">
        <f aca="false">Inputs!$C$5/G18</f>
        <v>11.4162163618836</v>
      </c>
      <c r="H37" s="38" t="n">
        <f aca="false">Inputs!$C$5/H18</f>
        <v>10.3289919367332</v>
      </c>
      <c r="I37" s="38" t="n">
        <f aca="false">Inputs!$C$5/I18</f>
        <v>9.65127192837866</v>
      </c>
    </row>
    <row r="38" customFormat="false" ht="15" hidden="false" customHeight="false" outlineLevel="0" collapsed="false">
      <c r="B38" s="3" t="s">
        <v>196</v>
      </c>
      <c r="C38" s="38" t="n">
        <f aca="false">Inputs!$C$11/C11</f>
        <v>7.51575416828228</v>
      </c>
      <c r="D38" s="38" t="n">
        <f aca="false">Inputs!$C$11/D11</f>
        <v>7.68449580219848</v>
      </c>
      <c r="E38" s="38" t="n">
        <f aca="false">Inputs!$C$11/E11</f>
        <v>10.0044916417322</v>
      </c>
      <c r="F38" s="38" t="n">
        <f aca="false">Inputs!$C$11/F11</f>
        <v>7.80198451011551</v>
      </c>
      <c r="G38" s="38" t="n">
        <f aca="false">Inputs!$C$11/G11</f>
        <v>6.92840323292111</v>
      </c>
      <c r="H38" s="38" t="n">
        <f aca="false">Inputs!$C$11/H11</f>
        <v>6.41338260920239</v>
      </c>
      <c r="I38" s="38" t="n">
        <f aca="false">Inputs!$C$11/I11</f>
        <v>6.06757073465227</v>
      </c>
    </row>
    <row r="39" customFormat="false" ht="15" hidden="false" customHeight="false" outlineLevel="0" collapsed="false">
      <c r="B39" s="3" t="s">
        <v>197</v>
      </c>
      <c r="C39" s="30" t="n">
        <f aca="false">C32/(Inputs!$C$7+Inputs!$C$8)</f>
        <v>0.0651481046445949</v>
      </c>
      <c r="D39" s="30" t="n">
        <f aca="false">D32/(Inputs!$C$7+Inputs!$C$8)</f>
        <v>0.0475893488726799</v>
      </c>
      <c r="E39" s="30" t="n">
        <f aca="false">E32/(Inputs!$C$7+Inputs!$C$8)</f>
        <v>0.0326937403592737</v>
      </c>
      <c r="F39" s="30" t="n">
        <f aca="false">F32/(Inputs!$C$7+Inputs!$C$8)</f>
        <v>0.0631992586854408</v>
      </c>
      <c r="G39" s="30" t="n">
        <f aca="false">G32/(Inputs!$C$7+Inputs!$C$8)</f>
        <v>0.0719186385109302</v>
      </c>
      <c r="H39" s="30" t="n">
        <f aca="false">H32/(Inputs!$C$7+Inputs!$C$8)</f>
        <v>0.0777951316905228</v>
      </c>
      <c r="I39" s="30" t="n">
        <f aca="false">I32/(Inputs!$C$7+Inputs!$C$8)</f>
        <v>0.0830829559045581</v>
      </c>
    </row>
    <row r="40" customFormat="false" ht="15" hidden="false" customHeight="false" outlineLevel="0" collapsed="false">
      <c r="B40" s="3" t="s">
        <v>198</v>
      </c>
      <c r="C40" s="30" t="n">
        <f aca="false">Inputs!$C$12/Inputs!$C$5</f>
        <v>0.0265893159294175</v>
      </c>
      <c r="D40" s="30" t="n">
        <f aca="false">Inputs!$C$12/Inputs!$C$5</f>
        <v>0.0265893159294175</v>
      </c>
      <c r="E40" s="30" t="n">
        <f aca="false">Inputs!$C$12/Inputs!$C$5</f>
        <v>0.0265893159294175</v>
      </c>
      <c r="F40" s="30" t="n">
        <f aca="false">Inputs!$C$12/Inputs!$C$5</f>
        <v>0.0265893159294175</v>
      </c>
      <c r="G40" s="30" t="n">
        <f aca="false">Inputs!$C$12/Inputs!$C$5</f>
        <v>0.0265893159294175</v>
      </c>
      <c r="H40" s="30" t="n">
        <f aca="false">Inputs!$C$12/Inputs!$C$5</f>
        <v>0.0265893159294175</v>
      </c>
      <c r="I40" s="30" t="n">
        <f aca="false">Inputs!$C$12/Inputs!$C$5</f>
        <v>0.0265893159294175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2"/>
    <col collapsed="false" customWidth="true" hidden="false" outlineLevel="0" max="5" min="5" style="0" width="80"/>
  </cols>
  <sheetData>
    <row r="1" customFormat="false" ht="17.35" hidden="false" customHeight="false" outlineLevel="0" collapsed="false">
      <c r="B1" s="16" t="s">
        <v>199</v>
      </c>
    </row>
    <row r="2" customFormat="false" ht="15" hidden="false" customHeight="false" outlineLevel="0" collapsed="false">
      <c r="B2" s="17" t="s">
        <v>200</v>
      </c>
    </row>
    <row r="4" customFormat="false" ht="15" hidden="false" customHeight="false" outlineLevel="0" collapsed="false">
      <c r="B4" s="3" t="s">
        <v>89</v>
      </c>
      <c r="C4" s="40" t="n">
        <f aca="false">Inputs!C43</f>
        <v>0.033</v>
      </c>
    </row>
    <row r="5" customFormat="false" ht="15" hidden="false" customHeight="false" outlineLevel="0" collapsed="false">
      <c r="B5" s="3" t="s">
        <v>91</v>
      </c>
      <c r="C5" s="45" t="n">
        <f aca="false">Inputs!C45</f>
        <v>1.2</v>
      </c>
    </row>
    <row r="6" customFormat="false" ht="15" hidden="false" customHeight="false" outlineLevel="0" collapsed="false">
      <c r="B6" s="3" t="s">
        <v>90</v>
      </c>
      <c r="C6" s="40" t="n">
        <f aca="false">Inputs!C44</f>
        <v>0.055</v>
      </c>
    </row>
    <row r="7" customFormat="false" ht="15" hidden="false" customHeight="false" outlineLevel="0" collapsed="false">
      <c r="B7" s="14" t="s">
        <v>201</v>
      </c>
      <c r="C7" s="46" t="n">
        <f aca="false">C4+C5*C6</f>
        <v>0.099</v>
      </c>
      <c r="E7" s="17" t="s">
        <v>202</v>
      </c>
    </row>
    <row r="9" customFormat="false" ht="15" hidden="false" customHeight="false" outlineLevel="0" collapsed="false">
      <c r="B9" s="3" t="s">
        <v>92</v>
      </c>
      <c r="C9" s="40" t="n">
        <f aca="false">Inputs!C46</f>
        <v>0.043</v>
      </c>
    </row>
    <row r="10" customFormat="false" ht="15" hidden="false" customHeight="false" outlineLevel="0" collapsed="false">
      <c r="B10" s="3" t="s">
        <v>203</v>
      </c>
      <c r="C10" s="40" t="n">
        <f aca="false">Inputs!C49</f>
        <v>0.25</v>
      </c>
    </row>
    <row r="11" customFormat="false" ht="15" hidden="false" customHeight="false" outlineLevel="0" collapsed="false">
      <c r="B11" s="3" t="s">
        <v>204</v>
      </c>
      <c r="C11" s="30" t="n">
        <f aca="false">C9*(1-C10)</f>
        <v>0.03225</v>
      </c>
    </row>
    <row r="13" customFormat="false" ht="15" hidden="false" customHeight="false" outlineLevel="0" collapsed="false">
      <c r="B13" s="3" t="s">
        <v>205</v>
      </c>
      <c r="C13" s="40" t="n">
        <f aca="false">Inputs!C47</f>
        <v>0.15</v>
      </c>
    </row>
    <row r="14" customFormat="false" ht="15" hidden="false" customHeight="false" outlineLevel="0" collapsed="false">
      <c r="B14" s="3" t="s">
        <v>206</v>
      </c>
      <c r="C14" s="30" t="n">
        <f aca="false">1-C13</f>
        <v>0.85</v>
      </c>
    </row>
    <row r="16" customFormat="false" ht="15" hidden="false" customHeight="false" outlineLevel="0" collapsed="false">
      <c r="B16" s="14" t="s">
        <v>30</v>
      </c>
      <c r="C16" s="27" t="n">
        <f aca="false">C14*C7+C13*C11</f>
        <v>0.0889875</v>
      </c>
      <c r="E16" s="17" t="s">
        <v>207</v>
      </c>
    </row>
    <row r="18" customFormat="false" ht="15" hidden="false" customHeight="false" outlineLevel="0" collapsed="false">
      <c r="B18" s="3" t="s">
        <v>208</v>
      </c>
      <c r="C18" s="30" t="n">
        <f aca="false">Inputs!C8/(Inputs!C8+Inputs!C7)</f>
        <v>0.131271763993806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9" min="3" style="0" width="12"/>
  </cols>
  <sheetData>
    <row r="1" customFormat="false" ht="17.35" hidden="false" customHeight="false" outlineLevel="0" collapsed="false">
      <c r="B1" s="16" t="s">
        <v>209</v>
      </c>
    </row>
    <row r="2" customFormat="false" ht="15" hidden="false" customHeight="false" outlineLevel="0" collapsed="false">
      <c r="B2" s="17" t="s">
        <v>210</v>
      </c>
    </row>
    <row r="4" customFormat="false" ht="15" hidden="false" customHeight="false" outlineLevel="0" collapsed="false">
      <c r="A4" s="4"/>
      <c r="B4" s="5" t="s">
        <v>211</v>
      </c>
      <c r="C4" s="4"/>
      <c r="D4" s="25" t="s">
        <v>62</v>
      </c>
      <c r="E4" s="25" t="s">
        <v>63</v>
      </c>
      <c r="F4" s="25" t="s">
        <v>64</v>
      </c>
      <c r="G4" s="25" t="s">
        <v>65</v>
      </c>
      <c r="H4" s="25" t="s">
        <v>66</v>
      </c>
      <c r="I4" s="25" t="s">
        <v>67</v>
      </c>
    </row>
    <row r="5" customFormat="false" ht="15" hidden="false" customHeight="false" outlineLevel="0" collapsed="false">
      <c r="B5" s="3" t="s">
        <v>212</v>
      </c>
      <c r="D5" s="21" t="n">
        <f aca="false">Forecast!D32</f>
        <v>3390.3375495</v>
      </c>
      <c r="E5" s="21" t="n">
        <f aca="false">Forecast!E32</f>
        <v>2329.15175768</v>
      </c>
      <c r="F5" s="21" t="n">
        <f aca="false">Forecast!F32</f>
        <v>4502.411251624</v>
      </c>
      <c r="G5" s="21" t="n">
        <f aca="false">Forecast!G32</f>
        <v>5123.5931238492</v>
      </c>
      <c r="H5" s="21" t="n">
        <f aca="false">Forecast!H32</f>
        <v>5542.24343023301</v>
      </c>
      <c r="I5" s="21" t="n">
        <f aca="false">Forecast!I32</f>
        <v>5918.9560647337</v>
      </c>
    </row>
    <row r="6" customFormat="false" ht="15" hidden="false" customHeight="false" outlineLevel="0" collapsed="false">
      <c r="B6" s="3" t="s">
        <v>213</v>
      </c>
      <c r="D6" s="21" t="n">
        <f aca="false">-Historicals!F47</f>
        <v>-409.25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</row>
    <row r="7" customFormat="false" ht="15" hidden="false" customHeight="false" outlineLevel="0" collapsed="false">
      <c r="B7" s="14" t="s">
        <v>214</v>
      </c>
      <c r="D7" s="36" t="n">
        <f aca="false">D5+D6</f>
        <v>2981.0875495</v>
      </c>
      <c r="E7" s="36" t="n">
        <f aca="false">E5+E6</f>
        <v>2329.15175768</v>
      </c>
      <c r="F7" s="36" t="n">
        <f aca="false">F5+F6</f>
        <v>4502.411251624</v>
      </c>
      <c r="G7" s="36" t="n">
        <f aca="false">G5+G6</f>
        <v>5123.5931238492</v>
      </c>
      <c r="H7" s="36" t="n">
        <f aca="false">H5+H6</f>
        <v>5542.24343023301</v>
      </c>
      <c r="I7" s="36" t="n">
        <f aca="false">I5+I6</f>
        <v>5918.9560647337</v>
      </c>
    </row>
    <row r="8" customFormat="false" ht="15" hidden="false" customHeight="false" outlineLevel="0" collapsed="false">
      <c r="B8" s="3" t="s">
        <v>215</v>
      </c>
      <c r="D8" s="47" t="n">
        <v>0.25</v>
      </c>
      <c r="E8" s="48" t="n">
        <f aca="false">D8+0.75</f>
        <v>1</v>
      </c>
      <c r="F8" s="48" t="n">
        <f aca="false">E8+1</f>
        <v>2</v>
      </c>
      <c r="G8" s="48" t="n">
        <f aca="false">F8+1</f>
        <v>3</v>
      </c>
      <c r="H8" s="48" t="n">
        <f aca="false">G8+1</f>
        <v>4</v>
      </c>
      <c r="I8" s="48" t="n">
        <f aca="false">H8+1</f>
        <v>5</v>
      </c>
    </row>
    <row r="9" customFormat="false" ht="15" hidden="false" customHeight="false" outlineLevel="0" collapsed="false">
      <c r="B9" s="3" t="s">
        <v>216</v>
      </c>
      <c r="D9" s="49" t="n">
        <f aca="false">1/(1+WACC!$C$16)^D8</f>
        <v>0.978913406468605</v>
      </c>
      <c r="E9" s="49" t="n">
        <f aca="false">1/(1+WACC!$C$16)^E8</f>
        <v>0.918284185998462</v>
      </c>
      <c r="F9" s="49" t="n">
        <f aca="false">1/(1+WACC!$C$16)^F8</f>
        <v>0.843245846254858</v>
      </c>
      <c r="G9" s="49" t="n">
        <f aca="false">1/(1+WACC!$C$16)^G8</f>
        <v>0.774339325524726</v>
      </c>
      <c r="H9" s="49" t="n">
        <f aca="false">1/(1+WACC!$C$16)^H8</f>
        <v>0.711063557226071</v>
      </c>
      <c r="I9" s="49" t="n">
        <f aca="false">1/(1+WACC!$C$16)^I8</f>
        <v>0.652958419840514</v>
      </c>
    </row>
    <row r="10" customFormat="false" ht="15" hidden="false" customHeight="false" outlineLevel="0" collapsed="false">
      <c r="B10" s="14" t="s">
        <v>217</v>
      </c>
      <c r="D10" s="36" t="n">
        <f aca="false">D7*D9</f>
        <v>2918.22656806219</v>
      </c>
      <c r="E10" s="36" t="n">
        <f aca="false">E7*E9</f>
        <v>2138.82322586807</v>
      </c>
      <c r="F10" s="36" t="n">
        <f aca="false">F7*F9</f>
        <v>3796.63958606307</v>
      </c>
      <c r="G10" s="36" t="n">
        <f aca="false">G7*G9</f>
        <v>3967.39964378451</v>
      </c>
      <c r="H10" s="36" t="n">
        <f aca="false">H7*H9</f>
        <v>3940.88732851431</v>
      </c>
      <c r="I10" s="36" t="n">
        <f aca="false">I7*I9</f>
        <v>3864.83219913394</v>
      </c>
    </row>
    <row r="12" customFormat="false" ht="15" hidden="false" customHeight="false" outlineLevel="0" collapsed="false">
      <c r="A12" s="4"/>
      <c r="B12" s="5" t="s">
        <v>218</v>
      </c>
      <c r="C12" s="4"/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B13" s="3" t="s">
        <v>219</v>
      </c>
      <c r="D13" s="20" t="n">
        <f aca="false">SUM(D10:I10)</f>
        <v>20626.8085514261</v>
      </c>
    </row>
    <row r="14" customFormat="false" ht="15" hidden="false" customHeight="false" outlineLevel="0" collapsed="false">
      <c r="B14" s="3" t="s">
        <v>220</v>
      </c>
      <c r="D14" s="20" t="n">
        <f aca="false">I5*(1+Inputs!C48)</f>
        <v>6066.92996635204</v>
      </c>
    </row>
    <row r="15" customFormat="false" ht="15" hidden="false" customHeight="false" outlineLevel="0" collapsed="false">
      <c r="B15" s="3" t="s">
        <v>221</v>
      </c>
      <c r="D15" s="20" t="n">
        <f aca="false">D14/(WACC!C16-Inputs!C48)</f>
        <v>94814.2991420518</v>
      </c>
    </row>
    <row r="16" customFormat="false" ht="15" hidden="false" customHeight="false" outlineLevel="0" collapsed="false">
      <c r="B16" s="3" t="s">
        <v>222</v>
      </c>
      <c r="D16" s="48" t="n">
        <f aca="false">I8+0.5</f>
        <v>5.5</v>
      </c>
    </row>
    <row r="17" customFormat="false" ht="15" hidden="false" customHeight="false" outlineLevel="0" collapsed="false">
      <c r="B17" s="3" t="s">
        <v>223</v>
      </c>
      <c r="D17" s="20" t="n">
        <f aca="false">D15/(1+WACC!C16)^D16</f>
        <v>59326.3894280843</v>
      </c>
    </row>
    <row r="18" customFormat="false" ht="15" hidden="false" customHeight="false" outlineLevel="0" collapsed="false">
      <c r="B18" s="14" t="s">
        <v>224</v>
      </c>
      <c r="D18" s="36" t="n">
        <f aca="false">D13+D17</f>
        <v>79953.1979795104</v>
      </c>
    </row>
    <row r="19" customFormat="false" ht="15" hidden="false" customHeight="false" outlineLevel="0" collapsed="false">
      <c r="B19" s="3" t="s">
        <v>225</v>
      </c>
      <c r="D19" s="30" t="n">
        <f aca="false">D17/D18</f>
        <v>0.742013964760833</v>
      </c>
    </row>
    <row r="20" customFormat="false" ht="15" hidden="false" customHeight="false" outlineLevel="0" collapsed="false">
      <c r="B20" s="3" t="s">
        <v>226</v>
      </c>
      <c r="D20" s="21" t="n">
        <f aca="false">-Inputs!C8</f>
        <v>-9352</v>
      </c>
    </row>
    <row r="21" customFormat="false" ht="15" hidden="false" customHeight="false" outlineLevel="0" collapsed="false">
      <c r="B21" s="14" t="s">
        <v>227</v>
      </c>
      <c r="D21" s="36" t="n">
        <f aca="false">D18+D20</f>
        <v>70601.1979795104</v>
      </c>
    </row>
    <row r="22" customFormat="false" ht="15" hidden="false" customHeight="false" outlineLevel="0" collapsed="false">
      <c r="B22" s="3" t="s">
        <v>50</v>
      </c>
      <c r="D22" s="41" t="n">
        <f aca="false">Inputs!C6</f>
        <v>74.8</v>
      </c>
    </row>
    <row r="23" customFormat="false" ht="15" hidden="false" customHeight="false" outlineLevel="0" collapsed="false">
      <c r="B23" s="14" t="s">
        <v>228</v>
      </c>
      <c r="D23" s="50" t="n">
        <f aca="false">D21/D22</f>
        <v>943.866283148535</v>
      </c>
    </row>
    <row r="24" customFormat="false" ht="15" hidden="false" customHeight="false" outlineLevel="0" collapsed="false">
      <c r="B24" s="3" t="s">
        <v>229</v>
      </c>
      <c r="D24" s="30" t="n">
        <f aca="false">D23/Inputs!C5-1</f>
        <v>0.140761763534608</v>
      </c>
    </row>
    <row r="26" customFormat="false" ht="15" hidden="false" customHeight="false" outlineLevel="0" collapsed="false">
      <c r="B26" s="3" t="s">
        <v>230</v>
      </c>
      <c r="D26" s="38" t="n">
        <f aca="false">D15/Forecast!I36</f>
        <v>8.9442817298912</v>
      </c>
    </row>
    <row r="27" customFormat="false" ht="15" hidden="false" customHeight="false" outlineLevel="0" collapsed="false">
      <c r="B27" s="3" t="s">
        <v>231</v>
      </c>
      <c r="D27" s="38" t="n">
        <f aca="false">D23/Forecast!F18</f>
        <v>15.5054495055102</v>
      </c>
    </row>
    <row r="29" customFormat="false" ht="15" hidden="false" customHeight="false" outlineLevel="0" collapsed="false">
      <c r="A29" s="4"/>
      <c r="B29" s="5" t="s">
        <v>232</v>
      </c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D30" s="51" t="n">
        <f aca="false">Inputs!$C$48+(-0.01)</f>
        <v>0.015</v>
      </c>
      <c r="E30" s="51" t="n">
        <f aca="false">Inputs!$C$48+(-0.005)</f>
        <v>0.02</v>
      </c>
      <c r="F30" s="51" t="n">
        <f aca="false">Inputs!$C$48+(0)</f>
        <v>0.025</v>
      </c>
      <c r="G30" s="51" t="n">
        <f aca="false">Inputs!$C$48+(0.005)</f>
        <v>0.03</v>
      </c>
      <c r="H30" s="51" t="n">
        <f aca="false">Inputs!$C$48+(0.01)</f>
        <v>0.035</v>
      </c>
    </row>
    <row r="31" customFormat="false" ht="15" hidden="false" customHeight="false" outlineLevel="0" collapsed="false">
      <c r="C31" s="52" t="n">
        <f aca="false">WACC!$C$16+(-0.01)</f>
        <v>0.0789875</v>
      </c>
      <c r="D31" s="20" t="n">
        <f aca="false">(SUMPRODUCT($D$7:$I$7,1/(1+$C31)^$D$8:$I$8)+$I$5*(1+D$30)/($C31-D$30)/(1+$C31)^$D$16-Inputs!$C$8)/Inputs!$C$6</f>
        <v>984.21513948815</v>
      </c>
      <c r="E31" s="20" t="n">
        <f aca="false">(SUMPRODUCT($D$7:$I$7,1/(1+$C31)^$D$8:$I$8)+$I$5*(1+E$30)/($C31-E$30)/(1+$C31)^$D$16-Inputs!$C$8)/Inputs!$C$6</f>
        <v>1058.66853850936</v>
      </c>
      <c r="F31" s="20" t="n">
        <f aca="false">(SUMPRODUCT($D$7:$I$7,1/(1+$C31)^$D$8:$I$8)+$I$5*(1+F$30)/($C31-F$30)/(1+$C31)^$D$16-Inputs!$C$8)/Inputs!$C$6</f>
        <v>1146.9127963444</v>
      </c>
      <c r="G31" s="20" t="n">
        <f aca="false">(SUMPRODUCT($D$7:$I$7,1/(1+$C31)^$D$8:$I$8)+$I$5*(1+G$30)/($C31-G$30)/(1+$C31)^$D$16-Inputs!$C$8)/Inputs!$C$6</f>
        <v>1253.17068170382</v>
      </c>
      <c r="H31" s="20" t="n">
        <f aca="false">(SUMPRODUCT($D$7:$I$7,1/(1+$C31)^$D$8:$I$8)+$I$5*(1+H$30)/($C31-H$30)/(1+$C31)^$D$16-Inputs!$C$8)/Inputs!$C$6</f>
        <v>1383.58494907163</v>
      </c>
    </row>
    <row r="32" customFormat="false" ht="15" hidden="false" customHeight="false" outlineLevel="0" collapsed="false">
      <c r="C32" s="52" t="n">
        <f aca="false">WACC!$C$16+(-0.005)</f>
        <v>0.0839875</v>
      </c>
      <c r="D32" s="20" t="n">
        <f aca="false">(SUMPRODUCT($D$7:$I$7,1/(1+$C32)^$D$8:$I$8)+$I$5*(1+D$30)/($C32-D$30)/(1+$C32)^$D$16-Inputs!$C$8)/Inputs!$C$6</f>
        <v>901.444005342648</v>
      </c>
      <c r="E32" s="20" t="n">
        <f aca="false">(SUMPRODUCT($D$7:$I$7,1/(1+$C32)^$D$8:$I$8)+$I$5*(1+E$30)/($C32-E$30)/(1+$C32)^$D$16-Inputs!$C$8)/Inputs!$C$6</f>
        <v>963.794332901518</v>
      </c>
      <c r="F32" s="20" t="n">
        <f aca="false">(SUMPRODUCT($D$7:$I$7,1/(1+$C32)^$D$8:$I$8)+$I$5*(1+F$30)/($C32-F$30)/(1+$C32)^$D$16-Inputs!$C$8)/Inputs!$C$6</f>
        <v>1036.71475201519</v>
      </c>
      <c r="G32" s="20" t="n">
        <f aca="false">(SUMPRODUCT($D$7:$I$7,1/(1+$C32)^$D$8:$I$8)+$I$5*(1+G$30)/($C32-G$30)/(1+$C32)^$D$16-Inputs!$C$8)/Inputs!$C$6</f>
        <v>1123.14207904526</v>
      </c>
      <c r="H32" s="20" t="n">
        <f aca="false">(SUMPRODUCT($D$7:$I$7,1/(1+$C32)^$D$8:$I$8)+$I$5*(1+H$30)/($C32-H$30)/(1+$C32)^$D$16-Inputs!$C$8)/Inputs!$C$6</f>
        <v>1227.21213677807</v>
      </c>
    </row>
    <row r="33" customFormat="false" ht="15" hidden="false" customHeight="false" outlineLevel="0" collapsed="false">
      <c r="C33" s="52" t="n">
        <f aca="false">WACC!$C$16+(0)</f>
        <v>0.0889875</v>
      </c>
      <c r="D33" s="20" t="n">
        <f aca="false">(SUMPRODUCT($D$7:$I$7,1/(1+$C33)^$D$8:$I$8)+$I$5*(1+D$30)/($C33-D$30)/(1+$C33)^$D$16-Inputs!$C$8)/Inputs!$C$6</f>
        <v>829.975915029163</v>
      </c>
      <c r="E33" s="20" t="n">
        <f aca="false">(SUMPRODUCT($D$7:$I$7,1/(1+$C33)^$D$8:$I$8)+$I$5*(1+E$30)/($C33-E$30)/(1+$C33)^$D$16-Inputs!$C$8)/Inputs!$C$6</f>
        <v>882.793888792804</v>
      </c>
      <c r="F33" s="53" t="n">
        <f aca="false">(SUMPRODUCT($D$7:$I$7,1/(1+$C33)^$D$8:$I$8)+$I$5*(1+F$30)/($C33-F$30)/(1+$C33)^$D$16-Inputs!$C$8)/Inputs!$C$6</f>
        <v>943.866283148535</v>
      </c>
      <c r="G33" s="20" t="n">
        <f aca="false">(SUMPRODUCT($D$7:$I$7,1/(1+$C33)^$D$8:$I$8)+$I$5*(1+G$30)/($C33-G$30)/(1+$C33)^$D$16-Inputs!$C$8)/Inputs!$C$6</f>
        <v>1015.29212431176</v>
      </c>
      <c r="H33" s="20" t="n">
        <f aca="false">(SUMPRODUCT($D$7:$I$7,1/(1+$C33)^$D$8:$I$8)+$I$5*(1+H$30)/($C33-H$30)/(1+$C33)^$D$16-Inputs!$C$8)/Inputs!$C$6</f>
        <v>1099.94803561405</v>
      </c>
    </row>
    <row r="34" customFormat="false" ht="15" hidden="false" customHeight="false" outlineLevel="0" collapsed="false">
      <c r="C34" s="52" t="n">
        <f aca="false">WACC!$C$16+(0.005)</f>
        <v>0.0939875</v>
      </c>
      <c r="D34" s="20" t="n">
        <f aca="false">(SUMPRODUCT($D$7:$I$7,1/(1+$C34)^$D$8:$I$8)+$I$5*(1+D$30)/($C34-D$30)/(1+$C34)^$D$16-Inputs!$C$8)/Inputs!$C$6</f>
        <v>767.660273894244</v>
      </c>
      <c r="E34" s="20" t="n">
        <f aca="false">(SUMPRODUCT($D$7:$I$7,1/(1+$C34)^$D$8:$I$8)+$I$5*(1+E$30)/($C34-E$30)/(1+$C34)^$D$16-Inputs!$C$8)/Inputs!$C$6</f>
        <v>812.85015332394</v>
      </c>
      <c r="F34" s="20" t="n">
        <f aca="false">(SUMPRODUCT($D$7:$I$7,1/(1+$C34)^$D$8:$I$8)+$I$5*(1+F$30)/($C34-F$30)/(1+$C34)^$D$16-Inputs!$C$8)/Inputs!$C$6</f>
        <v>864.590477316737</v>
      </c>
      <c r="G34" s="20" t="n">
        <f aca="false">(SUMPRODUCT($D$7:$I$7,1/(1+$C34)^$D$8:$I$8)+$I$5*(1+G$30)/($C34-G$30)/(1+$C34)^$D$16-Inputs!$C$8)/Inputs!$C$6</f>
        <v>924.416806231245</v>
      </c>
      <c r="H34" s="20" t="n">
        <f aca="false">(SUMPRODUCT($D$7:$I$7,1/(1+$C34)^$D$8:$I$8)+$I$5*(1+H$30)/($C34-H$30)/(1+$C34)^$D$16-Inputs!$C$8)/Inputs!$C$6</f>
        <v>994.385339666119</v>
      </c>
    </row>
    <row r="35" customFormat="false" ht="15" hidden="false" customHeight="false" outlineLevel="0" collapsed="false">
      <c r="C35" s="52" t="n">
        <f aca="false">WACC!$C$16+(0.01)</f>
        <v>0.0989875</v>
      </c>
      <c r="D35" s="20" t="n">
        <f aca="false">(SUMPRODUCT($D$7:$I$7,1/(1+$C35)^$D$8:$I$8)+$I$5*(1+D$30)/($C35-D$30)/(1+$C35)^$D$16-Inputs!$C$8)/Inputs!$C$6</f>
        <v>712.858775604913</v>
      </c>
      <c r="E35" s="20" t="n">
        <f aca="false">(SUMPRODUCT($D$7:$I$7,1/(1+$C35)^$D$8:$I$8)+$I$5*(1+E$30)/($C35-E$30)/(1+$C35)^$D$16-Inputs!$C$8)/Inputs!$C$6</f>
        <v>751.85953945313</v>
      </c>
      <c r="F35" s="20" t="n">
        <f aca="false">(SUMPRODUCT($D$7:$I$7,1/(1+$C35)^$D$8:$I$8)+$I$5*(1+F$30)/($C35-F$30)/(1+$C35)^$D$16-Inputs!$C$8)/Inputs!$C$6</f>
        <v>796.131567210549</v>
      </c>
      <c r="G35" s="20" t="n">
        <f aca="false">(SUMPRODUCT($D$7:$I$7,1/(1+$C35)^$D$8:$I$8)+$I$5*(1+G$30)/($C35-G$30)/(1+$C35)^$D$16-Inputs!$C$8)/Inputs!$C$6</f>
        <v>846.820993447029</v>
      </c>
      <c r="H35" s="20" t="n">
        <f aca="false">(SUMPRODUCT($D$7:$I$7,1/(1+$C35)^$D$8:$I$8)+$I$5*(1+H$30)/($C35-H$30)/(1+$C35)^$D$16-Inputs!$C$8)/Inputs!$C$6</f>
        <v>905.432189753676</v>
      </c>
    </row>
    <row r="37" customFormat="false" ht="15" hidden="false" customHeight="false" outlineLevel="0" collapsed="false">
      <c r="A37" s="4"/>
      <c r="B37" s="5" t="s">
        <v>233</v>
      </c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D38" s="51" t="n">
        <f aca="false">Forecast!$I$7+(-0.03)</f>
        <v>0.2</v>
      </c>
      <c r="E38" s="51" t="n">
        <f aca="false">Forecast!$I$7+(-0.015)</f>
        <v>0.215</v>
      </c>
      <c r="F38" s="51" t="n">
        <f aca="false">Forecast!$I$7+(0)</f>
        <v>0.23</v>
      </c>
      <c r="G38" s="51" t="n">
        <f aca="false">Forecast!$I$7+(0.015)</f>
        <v>0.245</v>
      </c>
      <c r="H38" s="51" t="n">
        <f aca="false">Forecast!$I$7+(0.03)</f>
        <v>0.26</v>
      </c>
    </row>
    <row r="39" customFormat="false" ht="15" hidden="false" customHeight="false" outlineLevel="0" collapsed="false">
      <c r="C39" s="52" t="n">
        <f aca="false">WACC!$C$16+(-0.01)</f>
        <v>0.0789875</v>
      </c>
      <c r="D39" s="20" t="n">
        <f aca="false">(SUMPRODUCT($D$7:$I$7,1/(1+$C39)^$D$8:$I$8)+(D$38-Forecast!$I$7)*Forecast!$I$5*(1-Inputs!$I$39)/(1+$C39)^$I$8+($I$5+(D$38-Forecast!$I$7)*Forecast!$I$5*(1-Inputs!$I$39))*(1+Inputs!$C$48)/($C39-Inputs!$C$48)/(1+$C39)^$D$16-Inputs!$C$8)/Inputs!$C$6</f>
        <v>983.996854413623</v>
      </c>
      <c r="E39" s="20" t="n">
        <f aca="false">(SUMPRODUCT($D$7:$I$7,1/(1+$C39)^$D$8:$I$8)+(E$38-Forecast!$I$7)*Forecast!$I$5*(1-Inputs!$I$39)/(1+$C39)^$I$8+($I$5+(E$38-Forecast!$I$7)*Forecast!$I$5*(1-Inputs!$I$39))*(1+Inputs!$C$48)/($C39-Inputs!$C$48)/(1+$C39)^$D$16-Inputs!$C$8)/Inputs!$C$6</f>
        <v>1065.45482537901</v>
      </c>
      <c r="F39" s="20" t="n">
        <f aca="false">(SUMPRODUCT($D$7:$I$7,1/(1+$C39)^$D$8:$I$8)+(F$38-Forecast!$I$7)*Forecast!$I$5*(1-Inputs!$I$39)/(1+$C39)^$I$8+($I$5+(F$38-Forecast!$I$7)*Forecast!$I$5*(1-Inputs!$I$39))*(1+Inputs!$C$48)/($C39-Inputs!$C$48)/(1+$C39)^$D$16-Inputs!$C$8)/Inputs!$C$6</f>
        <v>1146.9127963444</v>
      </c>
      <c r="G39" s="20" t="n">
        <f aca="false">(SUMPRODUCT($D$7:$I$7,1/(1+$C39)^$D$8:$I$8)+(G$38-Forecast!$I$7)*Forecast!$I$5*(1-Inputs!$I$39)/(1+$C39)^$I$8+($I$5+(G$38-Forecast!$I$7)*Forecast!$I$5*(1-Inputs!$I$39))*(1+Inputs!$C$48)/($C39-Inputs!$C$48)/(1+$C39)^$D$16-Inputs!$C$8)/Inputs!$C$6</f>
        <v>1228.37076730978</v>
      </c>
      <c r="H39" s="20" t="n">
        <f aca="false">(SUMPRODUCT($D$7:$I$7,1/(1+$C39)^$D$8:$I$8)+(H$38-Forecast!$I$7)*Forecast!$I$5*(1-Inputs!$I$39)/(1+$C39)^$I$8+($I$5+(H$38-Forecast!$I$7)*Forecast!$I$5*(1-Inputs!$I$39))*(1+Inputs!$C$48)/($C39-Inputs!$C$48)/(1+$C39)^$D$16-Inputs!$C$8)/Inputs!$C$6</f>
        <v>1309.82873827517</v>
      </c>
    </row>
    <row r="40" customFormat="false" ht="15" hidden="false" customHeight="false" outlineLevel="0" collapsed="false">
      <c r="C40" s="52" t="n">
        <f aca="false">WACC!$C$16+(-0.005)</f>
        <v>0.0839875</v>
      </c>
      <c r="D40" s="20" t="n">
        <f aca="false">(SUMPRODUCT($D$7:$I$7,1/(1+$C40)^$D$8:$I$8)+(D$38-Forecast!$I$7)*Forecast!$I$5*(1-Inputs!$I$39)/(1+$C40)^$I$8+($I$5+(D$38-Forecast!$I$7)*Forecast!$I$5*(1-Inputs!$I$39))*(1+Inputs!$C$48)/($C40-Inputs!$C$48)/(1+$C40)^$D$16-Inputs!$C$8)/Inputs!$C$6</f>
        <v>890.634433733973</v>
      </c>
      <c r="E40" s="20" t="n">
        <f aca="false">(SUMPRODUCT($D$7:$I$7,1/(1+$C40)^$D$8:$I$8)+(E$38-Forecast!$I$7)*Forecast!$I$5*(1-Inputs!$I$39)/(1+$C40)^$I$8+($I$5+(E$38-Forecast!$I$7)*Forecast!$I$5*(1-Inputs!$I$39))*(1+Inputs!$C$48)/($C40-Inputs!$C$48)/(1+$C40)^$D$16-Inputs!$C$8)/Inputs!$C$6</f>
        <v>963.67459287458</v>
      </c>
      <c r="F40" s="20" t="n">
        <f aca="false">(SUMPRODUCT($D$7:$I$7,1/(1+$C40)^$D$8:$I$8)+(F$38-Forecast!$I$7)*Forecast!$I$5*(1-Inputs!$I$39)/(1+$C40)^$I$8+($I$5+(F$38-Forecast!$I$7)*Forecast!$I$5*(1-Inputs!$I$39))*(1+Inputs!$C$48)/($C40-Inputs!$C$48)/(1+$C40)^$D$16-Inputs!$C$8)/Inputs!$C$6</f>
        <v>1036.71475201519</v>
      </c>
      <c r="G40" s="20" t="n">
        <f aca="false">(SUMPRODUCT($D$7:$I$7,1/(1+$C40)^$D$8:$I$8)+(G$38-Forecast!$I$7)*Forecast!$I$5*(1-Inputs!$I$39)/(1+$C40)^$I$8+($I$5+(G$38-Forecast!$I$7)*Forecast!$I$5*(1-Inputs!$I$39))*(1+Inputs!$C$48)/($C40-Inputs!$C$48)/(1+$C40)^$D$16-Inputs!$C$8)/Inputs!$C$6</f>
        <v>1109.75491115579</v>
      </c>
      <c r="H40" s="20" t="n">
        <f aca="false">(SUMPRODUCT($D$7:$I$7,1/(1+$C40)^$D$8:$I$8)+(H$38-Forecast!$I$7)*Forecast!$I$5*(1-Inputs!$I$39)/(1+$C40)^$I$8+($I$5+(H$38-Forecast!$I$7)*Forecast!$I$5*(1-Inputs!$I$39))*(1+Inputs!$C$48)/($C40-Inputs!$C$48)/(1+$C40)^$D$16-Inputs!$C$8)/Inputs!$C$6</f>
        <v>1182.7950702964</v>
      </c>
    </row>
    <row r="41" customFormat="false" ht="15" hidden="false" customHeight="false" outlineLevel="0" collapsed="false">
      <c r="C41" s="52" t="n">
        <f aca="false">WACC!$C$16+(0)</f>
        <v>0.0889875</v>
      </c>
      <c r="D41" s="20" t="n">
        <f aca="false">(SUMPRODUCT($D$7:$I$7,1/(1+$C41)^$D$8:$I$8)+(D$38-Forecast!$I$7)*Forecast!$I$5*(1-Inputs!$I$39)/(1+$C41)^$I$8+($I$5+(D$38-Forecast!$I$7)*Forecast!$I$5*(1-Inputs!$I$39))*(1+Inputs!$C$48)/($C41-Inputs!$C$48)/(1+$C41)^$D$16-Inputs!$C$8)/Inputs!$C$6</f>
        <v>811.918767334825</v>
      </c>
      <c r="E41" s="20" t="n">
        <f aca="false">(SUMPRODUCT($D$7:$I$7,1/(1+$C41)^$D$8:$I$8)+(E$38-Forecast!$I$7)*Forecast!$I$5*(1-Inputs!$I$39)/(1+$C41)^$I$8+($I$5+(E$38-Forecast!$I$7)*Forecast!$I$5*(1-Inputs!$I$39))*(1+Inputs!$C$48)/($C41-Inputs!$C$48)/(1+$C41)^$D$16-Inputs!$C$8)/Inputs!$C$6</f>
        <v>877.89252524168</v>
      </c>
      <c r="F41" s="53" t="n">
        <f aca="false">(SUMPRODUCT($D$7:$I$7,1/(1+$C41)^$D$8:$I$8)+(F$38-Forecast!$I$7)*Forecast!$I$5*(1-Inputs!$I$39)/(1+$C41)^$I$8+($I$5+(F$38-Forecast!$I$7)*Forecast!$I$5*(1-Inputs!$I$39))*(1+Inputs!$C$48)/($C41-Inputs!$C$48)/(1+$C41)^$D$16-Inputs!$C$8)/Inputs!$C$6</f>
        <v>943.866283148535</v>
      </c>
      <c r="G41" s="20" t="n">
        <f aca="false">(SUMPRODUCT($D$7:$I$7,1/(1+$C41)^$D$8:$I$8)+(G$38-Forecast!$I$7)*Forecast!$I$5*(1-Inputs!$I$39)/(1+$C41)^$I$8+($I$5+(G$38-Forecast!$I$7)*Forecast!$I$5*(1-Inputs!$I$39))*(1+Inputs!$C$48)/($C41-Inputs!$C$48)/(1+$C41)^$D$16-Inputs!$C$8)/Inputs!$C$6</f>
        <v>1009.84004105539</v>
      </c>
      <c r="H41" s="20" t="n">
        <f aca="false">(SUMPRODUCT($D$7:$I$7,1/(1+$C41)^$D$8:$I$8)+(H$38-Forecast!$I$7)*Forecast!$I$5*(1-Inputs!$I$39)/(1+$C41)^$I$8+($I$5+(H$38-Forecast!$I$7)*Forecast!$I$5*(1-Inputs!$I$39))*(1+Inputs!$C$48)/($C41-Inputs!$C$48)/(1+$C41)^$D$16-Inputs!$C$8)/Inputs!$C$6</f>
        <v>1075.81379896224</v>
      </c>
    </row>
    <row r="42" customFormat="false" ht="15" hidden="false" customHeight="false" outlineLevel="0" collapsed="false">
      <c r="C42" s="52" t="n">
        <f aca="false">WACC!$C$16+(0.005)</f>
        <v>0.0939875</v>
      </c>
      <c r="D42" s="20" t="n">
        <f aca="false">(SUMPRODUCT($D$7:$I$7,1/(1+$C42)^$D$8:$I$8)+(D$38-Forecast!$I$7)*Forecast!$I$5*(1-Inputs!$I$39)/(1+$C42)^$I$8+($I$5+(D$38-Forecast!$I$7)*Forecast!$I$5*(1-Inputs!$I$39))*(1+Inputs!$C$48)/($C42-Inputs!$C$48)/(1+$C42)^$D$16-Inputs!$C$8)/Inputs!$C$6</f>
        <v>744.66268142116</v>
      </c>
      <c r="E42" s="20" t="n">
        <f aca="false">(SUMPRODUCT($D$7:$I$7,1/(1+$C42)^$D$8:$I$8)+(E$38-Forecast!$I$7)*Forecast!$I$5*(1-Inputs!$I$39)/(1+$C42)^$I$8+($I$5+(E$38-Forecast!$I$7)*Forecast!$I$5*(1-Inputs!$I$39))*(1+Inputs!$C$48)/($C42-Inputs!$C$48)/(1+$C42)^$D$16-Inputs!$C$8)/Inputs!$C$6</f>
        <v>804.626579368949</v>
      </c>
      <c r="F42" s="20" t="n">
        <f aca="false">(SUMPRODUCT($D$7:$I$7,1/(1+$C42)^$D$8:$I$8)+(F$38-Forecast!$I$7)*Forecast!$I$5*(1-Inputs!$I$39)/(1+$C42)^$I$8+($I$5+(F$38-Forecast!$I$7)*Forecast!$I$5*(1-Inputs!$I$39))*(1+Inputs!$C$48)/($C42-Inputs!$C$48)/(1+$C42)^$D$16-Inputs!$C$8)/Inputs!$C$6</f>
        <v>864.590477316737</v>
      </c>
      <c r="G42" s="20" t="n">
        <f aca="false">(SUMPRODUCT($D$7:$I$7,1/(1+$C42)^$D$8:$I$8)+(G$38-Forecast!$I$7)*Forecast!$I$5*(1-Inputs!$I$39)/(1+$C42)^$I$8+($I$5+(G$38-Forecast!$I$7)*Forecast!$I$5*(1-Inputs!$I$39))*(1+Inputs!$C$48)/($C42-Inputs!$C$48)/(1+$C42)^$D$16-Inputs!$C$8)/Inputs!$C$6</f>
        <v>924.554375264526</v>
      </c>
      <c r="H42" s="20" t="n">
        <f aca="false">(SUMPRODUCT($D$7:$I$7,1/(1+$C42)^$D$8:$I$8)+(H$38-Forecast!$I$7)*Forecast!$I$5*(1-Inputs!$I$39)/(1+$C42)^$I$8+($I$5+(H$38-Forecast!$I$7)*Forecast!$I$5*(1-Inputs!$I$39))*(1+Inputs!$C$48)/($C42-Inputs!$C$48)/(1+$C42)^$D$16-Inputs!$C$8)/Inputs!$C$6</f>
        <v>984.518273212314</v>
      </c>
    </row>
    <row r="43" customFormat="false" ht="15" hidden="false" customHeight="false" outlineLevel="0" collapsed="false">
      <c r="C43" s="52" t="n">
        <f aca="false">WACC!$C$16+(0.01)</f>
        <v>0.0989875</v>
      </c>
      <c r="D43" s="20" t="n">
        <f aca="false">(SUMPRODUCT($D$7:$I$7,1/(1+$C43)^$D$8:$I$8)+(D$38-Forecast!$I$7)*Forecast!$I$5*(1-Inputs!$I$39)/(1+$C43)^$I$8+($I$5+(D$38-Forecast!$I$7)*Forecast!$I$5*(1-Inputs!$I$39))*(1+Inputs!$C$48)/($C43-Inputs!$C$48)/(1+$C43)^$D$16-Inputs!$C$8)/Inputs!$C$6</f>
        <v>686.540662164889</v>
      </c>
      <c r="E43" s="20" t="n">
        <f aca="false">(SUMPRODUCT($D$7:$I$7,1/(1+$C43)^$D$8:$I$8)+(E$38-Forecast!$I$7)*Forecast!$I$5*(1-Inputs!$I$39)/(1+$C43)^$I$8+($I$5+(E$38-Forecast!$I$7)*Forecast!$I$5*(1-Inputs!$I$39))*(1+Inputs!$C$48)/($C43-Inputs!$C$48)/(1+$C43)^$D$16-Inputs!$C$8)/Inputs!$C$6</f>
        <v>741.336114687719</v>
      </c>
      <c r="F43" s="20" t="n">
        <f aca="false">(SUMPRODUCT($D$7:$I$7,1/(1+$C43)^$D$8:$I$8)+(F$38-Forecast!$I$7)*Forecast!$I$5*(1-Inputs!$I$39)/(1+$C43)^$I$8+($I$5+(F$38-Forecast!$I$7)*Forecast!$I$5*(1-Inputs!$I$39))*(1+Inputs!$C$48)/($C43-Inputs!$C$48)/(1+$C43)^$D$16-Inputs!$C$8)/Inputs!$C$6</f>
        <v>796.131567210549</v>
      </c>
      <c r="G43" s="20" t="n">
        <f aca="false">(SUMPRODUCT($D$7:$I$7,1/(1+$C43)^$D$8:$I$8)+(G$38-Forecast!$I$7)*Forecast!$I$5*(1-Inputs!$I$39)/(1+$C43)^$I$8+($I$5+(G$38-Forecast!$I$7)*Forecast!$I$5*(1-Inputs!$I$39))*(1+Inputs!$C$48)/($C43-Inputs!$C$48)/(1+$C43)^$D$16-Inputs!$C$8)/Inputs!$C$6</f>
        <v>850.927019733379</v>
      </c>
      <c r="H43" s="20" t="n">
        <f aca="false">(SUMPRODUCT($D$7:$I$7,1/(1+$C43)^$D$8:$I$8)+(H$38-Forecast!$I$7)*Forecast!$I$5*(1-Inputs!$I$39)/(1+$C43)^$I$8+($I$5+(H$38-Forecast!$I$7)*Forecast!$I$5*(1-Inputs!$I$39))*(1+Inputs!$C$48)/($C43-Inputs!$C$48)/(1+$C43)^$D$16-Inputs!$C$8)/Inputs!$C$6</f>
        <v>905.722472256209</v>
      </c>
    </row>
    <row r="45" customFormat="false" ht="15" hidden="false" customHeight="false" outlineLevel="0" collapsed="false">
      <c r="B45" s="17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9" min="3" style="0" width="12"/>
  </cols>
  <sheetData>
    <row r="1" customFormat="false" ht="17.35" hidden="false" customHeight="false" outlineLevel="0" collapsed="false">
      <c r="B1" s="16" t="s">
        <v>235</v>
      </c>
    </row>
    <row r="2" customFormat="false" ht="15" hidden="false" customHeight="false" outlineLevel="0" collapsed="false">
      <c r="B2" s="17" t="s">
        <v>236</v>
      </c>
    </row>
    <row r="4" customFormat="false" ht="15" hidden="false" customHeight="false" outlineLevel="0" collapsed="false">
      <c r="A4" s="4"/>
      <c r="B4" s="5" t="s">
        <v>237</v>
      </c>
      <c r="C4" s="25" t="s">
        <v>180</v>
      </c>
      <c r="D4" s="25" t="s">
        <v>62</v>
      </c>
      <c r="E4" s="25" t="s">
        <v>63</v>
      </c>
      <c r="F4" s="25" t="s">
        <v>64</v>
      </c>
      <c r="G4" s="25" t="s">
        <v>65</v>
      </c>
      <c r="H4" s="25" t="s">
        <v>66</v>
      </c>
      <c r="I4" s="25" t="s">
        <v>67</v>
      </c>
    </row>
    <row r="5" customFormat="false" ht="15" hidden="false" customHeight="false" outlineLevel="0" collapsed="false">
      <c r="B5" s="3" t="s">
        <v>238</v>
      </c>
      <c r="D5" s="40" t="n">
        <f aca="false">Inputs!D22</f>
        <v>0.01</v>
      </c>
      <c r="E5" s="40" t="n">
        <f aca="false">Inputs!E22</f>
        <v>0</v>
      </c>
      <c r="F5" s="40" t="n">
        <f aca="false">Inputs!F22</f>
        <v>0.02</v>
      </c>
      <c r="G5" s="40" t="n">
        <f aca="false">Inputs!G22</f>
        <v>0.025</v>
      </c>
      <c r="H5" s="40" t="n">
        <f aca="false">Inputs!H22</f>
        <v>0.025</v>
      </c>
      <c r="I5" s="40" t="n">
        <f aca="false">Inputs!I22</f>
        <v>0.025</v>
      </c>
    </row>
    <row r="6" customFormat="false" ht="15" hidden="false" customHeight="false" outlineLevel="0" collapsed="false">
      <c r="B6" s="3" t="s">
        <v>134</v>
      </c>
      <c r="C6" s="21" t="n">
        <f aca="false">Historicals!D5</f>
        <v>32549</v>
      </c>
      <c r="D6" s="20" t="n">
        <f aca="false">C6*(1+D5)</f>
        <v>32874.49</v>
      </c>
      <c r="E6" s="20" t="n">
        <f aca="false">D6*(1+E5)</f>
        <v>32874.49</v>
      </c>
      <c r="F6" s="20" t="n">
        <f aca="false">E6*(1+F5)</f>
        <v>33531.9798</v>
      </c>
      <c r="G6" s="20" t="n">
        <f aca="false">F6*(1+G5)</f>
        <v>34370.279295</v>
      </c>
      <c r="H6" s="20" t="n">
        <f aca="false">G6*(1+H5)</f>
        <v>35229.536277375</v>
      </c>
      <c r="I6" s="20" t="n">
        <f aca="false">H6*(1+I5)</f>
        <v>36110.2746843094</v>
      </c>
    </row>
    <row r="7" customFormat="false" ht="15" hidden="false" customHeight="false" outlineLevel="0" collapsed="false">
      <c r="B7" s="3" t="s">
        <v>239</v>
      </c>
      <c r="D7" s="40" t="n">
        <f aca="false">Inputs!D28</f>
        <v>0.22</v>
      </c>
      <c r="E7" s="40" t="n">
        <f aca="false">Inputs!E28</f>
        <v>0.125</v>
      </c>
      <c r="F7" s="40" t="n">
        <f aca="false">Inputs!F28</f>
        <v>0.16</v>
      </c>
      <c r="G7" s="40" t="n">
        <f aca="false">Inputs!G28</f>
        <v>0.175</v>
      </c>
      <c r="H7" s="40" t="n">
        <f aca="false">Inputs!H28</f>
        <v>0.18</v>
      </c>
      <c r="I7" s="40" t="n">
        <f aca="false">Inputs!I28</f>
        <v>0.18</v>
      </c>
    </row>
    <row r="8" customFormat="false" ht="15" hidden="false" customHeight="false" outlineLevel="0" collapsed="false">
      <c r="B8" s="3" t="s">
        <v>143</v>
      </c>
      <c r="D8" s="20" t="n">
        <f aca="false">D6*D7</f>
        <v>7232.3878</v>
      </c>
      <c r="E8" s="20" t="n">
        <f aca="false">E6*E7</f>
        <v>4109.31125</v>
      </c>
      <c r="F8" s="20" t="n">
        <f aca="false">F6*F7</f>
        <v>5365.116768</v>
      </c>
      <c r="G8" s="20" t="n">
        <f aca="false">G6*G7</f>
        <v>6014.798876625</v>
      </c>
      <c r="H8" s="20" t="n">
        <f aca="false">H6*H7</f>
        <v>6341.3165299275</v>
      </c>
      <c r="I8" s="20" t="n">
        <f aca="false">I6*I7</f>
        <v>6499.84944317569</v>
      </c>
    </row>
    <row r="9" customFormat="false" ht="15" hidden="false" customHeight="false" outlineLevel="0" collapsed="false">
      <c r="B9" s="3" t="s">
        <v>171</v>
      </c>
      <c r="D9" s="20" t="n">
        <f aca="false">D8+D6*(Inputs!D34-Inputs!D35)</f>
        <v>7002.26637</v>
      </c>
      <c r="E9" s="20" t="n">
        <f aca="false">E8+E6*(Inputs!E34-Inputs!E35)</f>
        <v>3879.18982</v>
      </c>
      <c r="F9" s="20" t="n">
        <f aca="false">F8+F6*(Inputs!F34-Inputs!F35)</f>
        <v>5130.3929094</v>
      </c>
      <c r="G9" s="20" t="n">
        <f aca="false">G8+G6*(Inputs!G34-Inputs!G35)</f>
        <v>5774.20692156</v>
      </c>
      <c r="H9" s="20" t="n">
        <f aca="false">H8+H6*(Inputs!H34-Inputs!H35)</f>
        <v>6094.70977598587</v>
      </c>
      <c r="I9" s="20" t="n">
        <f aca="false">I8+I6*(Inputs!I34-Inputs!I35)</f>
        <v>6247.07752038552</v>
      </c>
    </row>
    <row r="10" customFormat="false" ht="15" hidden="false" customHeight="false" outlineLevel="0" collapsed="false">
      <c r="B10" s="3" t="s">
        <v>189</v>
      </c>
      <c r="D10" s="20" t="n">
        <f aca="false">D9*(1-Inputs!D39)</f>
        <v>5251.6997775</v>
      </c>
      <c r="E10" s="20" t="n">
        <f aca="false">E9*(1-Inputs!E39)</f>
        <v>2909.392365</v>
      </c>
      <c r="F10" s="20" t="n">
        <f aca="false">F9*(1-Inputs!F39)</f>
        <v>3847.79468205</v>
      </c>
      <c r="G10" s="20" t="n">
        <f aca="false">G9*(1-Inputs!G39)</f>
        <v>4330.65519117</v>
      </c>
      <c r="H10" s="20" t="n">
        <f aca="false">H9*(1-Inputs!H39)</f>
        <v>4571.03233198941</v>
      </c>
      <c r="I10" s="20" t="n">
        <f aca="false">I9*(1-Inputs!I39)</f>
        <v>4685.30814028914</v>
      </c>
    </row>
    <row r="11" customFormat="false" ht="15" hidden="false" customHeight="false" outlineLevel="0" collapsed="false">
      <c r="B11" s="3" t="s">
        <v>174</v>
      </c>
      <c r="D11" s="20" t="n">
        <f aca="false">D6*Inputs!D36</f>
        <v>1150.60715</v>
      </c>
      <c r="E11" s="20" t="n">
        <f aca="false">E6*Inputs!E36</f>
        <v>1150.60715</v>
      </c>
      <c r="F11" s="20" t="n">
        <f aca="false">F6*Inputs!F36</f>
        <v>1173.619293</v>
      </c>
      <c r="G11" s="20" t="n">
        <f aca="false">G6*Inputs!G36</f>
        <v>1202.959775325</v>
      </c>
      <c r="H11" s="20" t="n">
        <f aca="false">H6*Inputs!H36</f>
        <v>1233.03376970813</v>
      </c>
      <c r="I11" s="20" t="n">
        <f aca="false">I6*Inputs!I36</f>
        <v>1263.85961395083</v>
      </c>
    </row>
    <row r="12" customFormat="false" ht="15" hidden="false" customHeight="false" outlineLevel="0" collapsed="false">
      <c r="B12" s="3" t="s">
        <v>175</v>
      </c>
      <c r="D12" s="20" t="n">
        <f aca="false">-D6*Inputs!D37</f>
        <v>-2301.2143</v>
      </c>
      <c r="E12" s="20" t="n">
        <f aca="false">-E6*Inputs!E37</f>
        <v>-2136.84185</v>
      </c>
      <c r="F12" s="20" t="n">
        <f aca="false">-F6*Inputs!F37</f>
        <v>-2011.918788</v>
      </c>
      <c r="G12" s="20" t="n">
        <f aca="false">-G6*Inputs!G37</f>
        <v>-2062.2167577</v>
      </c>
      <c r="H12" s="20" t="n">
        <f aca="false">-H6*Inputs!H37</f>
        <v>-2043.31310408775</v>
      </c>
      <c r="I12" s="20" t="n">
        <f aca="false">-I6*Inputs!I37</f>
        <v>-2094.39593168994</v>
      </c>
    </row>
    <row r="13" customFormat="false" ht="15" hidden="false" customHeight="false" outlineLevel="0" collapsed="false">
      <c r="B13" s="3" t="s">
        <v>240</v>
      </c>
      <c r="C13" s="21" t="n">
        <f aca="false">Historicals!D29</f>
        <v>-352</v>
      </c>
      <c r="D13" s="20" t="n">
        <f aca="false">D6*Inputs!D38</f>
        <v>493.11735</v>
      </c>
      <c r="E13" s="20" t="n">
        <f aca="false">E6*Inputs!E38</f>
        <v>657.4898</v>
      </c>
      <c r="F13" s="20" t="n">
        <f aca="false">F6*Inputs!F38</f>
        <v>335.319798</v>
      </c>
      <c r="G13" s="20" t="n">
        <f aca="false">G6*Inputs!G38</f>
        <v>171.851396475</v>
      </c>
      <c r="H13" s="20" t="n">
        <f aca="false">H6*Inputs!H38</f>
        <v>176.147681386875</v>
      </c>
      <c r="I13" s="20" t="n">
        <f aca="false">I6*Inputs!I38</f>
        <v>180.551373421547</v>
      </c>
    </row>
    <row r="14" customFormat="false" ht="15" hidden="false" customHeight="false" outlineLevel="0" collapsed="false">
      <c r="B14" s="3" t="s">
        <v>191</v>
      </c>
      <c r="D14" s="20" t="n">
        <f aca="false">-(D13-C13)</f>
        <v>-845.11735</v>
      </c>
      <c r="E14" s="20" t="n">
        <f aca="false">-(E13-D13)</f>
        <v>-164.37245</v>
      </c>
      <c r="F14" s="20" t="n">
        <f aca="false">-(F13-E13)</f>
        <v>322.170002</v>
      </c>
      <c r="G14" s="20" t="n">
        <f aca="false">-(G13-F13)</f>
        <v>163.468401525</v>
      </c>
      <c r="H14" s="20" t="n">
        <f aca="false">-(H13-G13)</f>
        <v>-4.29628491187498</v>
      </c>
      <c r="I14" s="20" t="n">
        <f aca="false">-(I13-H13)</f>
        <v>-4.40369203467188</v>
      </c>
    </row>
    <row r="15" customFormat="false" ht="15" hidden="false" customHeight="false" outlineLevel="0" collapsed="false">
      <c r="B15" s="14" t="s">
        <v>241</v>
      </c>
      <c r="D15" s="36" t="n">
        <f aca="false">D10+D11+D12+D14</f>
        <v>3255.9752775</v>
      </c>
      <c r="E15" s="36" t="n">
        <f aca="false">E10+E11+E12+E14</f>
        <v>1758.785215</v>
      </c>
      <c r="F15" s="36" t="n">
        <f aca="false">F10+F11+F12+F14</f>
        <v>3331.66518905</v>
      </c>
      <c r="G15" s="36" t="n">
        <f aca="false">G10+G11+G12+G14</f>
        <v>3634.86661032</v>
      </c>
      <c r="H15" s="36" t="n">
        <f aca="false">H10+H11+H12+H14</f>
        <v>3756.45671269791</v>
      </c>
      <c r="I15" s="36" t="n">
        <f aca="false">I10+I11+I12+I14</f>
        <v>3850.36813051535</v>
      </c>
    </row>
    <row r="16" customFormat="false" ht="15" hidden="false" customHeight="false" outlineLevel="0" collapsed="false">
      <c r="B16" s="3" t="s">
        <v>242</v>
      </c>
      <c r="D16" s="20" t="n">
        <f aca="false">D15+DCF!D6</f>
        <v>2846.7252775</v>
      </c>
      <c r="E16" s="20" t="n">
        <f aca="false">E15+DCF!E6</f>
        <v>1758.785215</v>
      </c>
      <c r="F16" s="20" t="n">
        <f aca="false">F15+DCF!F6</f>
        <v>3331.66518905</v>
      </c>
      <c r="G16" s="20" t="n">
        <f aca="false">G15+DCF!G6</f>
        <v>3634.86661032</v>
      </c>
      <c r="H16" s="20" t="n">
        <f aca="false">H15+DCF!H6</f>
        <v>3756.45671269791</v>
      </c>
      <c r="I16" s="20" t="n">
        <f aca="false">I15+DCF!I6</f>
        <v>3850.36813051535</v>
      </c>
    </row>
    <row r="17" customFormat="false" ht="15" hidden="false" customHeight="false" outlineLevel="0" collapsed="false">
      <c r="B17" s="3" t="s">
        <v>243</v>
      </c>
      <c r="D17" s="20" t="n">
        <f aca="false">D16*DCF!D9</f>
        <v>2786.69753867781</v>
      </c>
      <c r="E17" s="20" t="n">
        <f aca="false">E16*DCF!E9</f>
        <v>1615.0646495024</v>
      </c>
      <c r="F17" s="20" t="n">
        <f aca="false">F16*DCF!F9</f>
        <v>2809.41283177832</v>
      </c>
      <c r="G17" s="20" t="n">
        <f aca="false">G16*DCF!G9</f>
        <v>2814.62015940754</v>
      </c>
      <c r="H17" s="20" t="n">
        <f aca="false">H16*DCF!H9</f>
        <v>2671.07947269673</v>
      </c>
      <c r="I17" s="20" t="n">
        <f aca="false">I16*DCF!I9</f>
        <v>2514.13029030558</v>
      </c>
    </row>
    <row r="18" customFormat="false" ht="15" hidden="false" customHeight="false" outlineLevel="0" collapsed="false">
      <c r="B18" s="3" t="s">
        <v>244</v>
      </c>
      <c r="D18" s="20" t="n">
        <f aca="false">SUM(D17:I17)+I15*(1+Inputs!$C$48)/(WACC!$C$16-Inputs!$C$48)/(1+WACC!$C$16)^DCF!$D$16</f>
        <v>53803.6953854451</v>
      </c>
    </row>
    <row r="19" customFormat="false" ht="15" hidden="false" customHeight="false" outlineLevel="0" collapsed="false">
      <c r="B19" s="3" t="s">
        <v>227</v>
      </c>
      <c r="D19" s="20" t="n">
        <f aca="false">D18-Inputs!$C$8</f>
        <v>44451.6953854451</v>
      </c>
    </row>
    <row r="20" customFormat="false" ht="15" hidden="false" customHeight="false" outlineLevel="0" collapsed="false">
      <c r="B20" s="14" t="s">
        <v>245</v>
      </c>
      <c r="D20" s="50" t="n">
        <f aca="false">D19/Inputs!$C$6</f>
        <v>594.274002479212</v>
      </c>
    </row>
    <row r="22" customFormat="false" ht="15" hidden="false" customHeight="false" outlineLevel="0" collapsed="false">
      <c r="A22" s="4"/>
      <c r="B22" s="5" t="s">
        <v>246</v>
      </c>
      <c r="C22" s="25" t="s">
        <v>180</v>
      </c>
      <c r="D22" s="25" t="s">
        <v>62</v>
      </c>
      <c r="E22" s="25" t="s">
        <v>63</v>
      </c>
      <c r="F22" s="25" t="s">
        <v>64</v>
      </c>
      <c r="G22" s="25" t="s">
        <v>65</v>
      </c>
      <c r="H22" s="25" t="s">
        <v>66</v>
      </c>
      <c r="I22" s="25" t="s">
        <v>67</v>
      </c>
    </row>
    <row r="23" customFormat="false" ht="15" hidden="false" customHeight="false" outlineLevel="0" collapsed="false">
      <c r="B23" s="3" t="s">
        <v>238</v>
      </c>
      <c r="D23" s="40" t="n">
        <f aca="false">Inputs!D23</f>
        <v>0.013</v>
      </c>
      <c r="E23" s="40" t="n">
        <f aca="false">Inputs!E23</f>
        <v>0.04</v>
      </c>
      <c r="F23" s="40" t="n">
        <f aca="false">Inputs!F23</f>
        <v>0.05</v>
      </c>
      <c r="G23" s="40" t="n">
        <f aca="false">Inputs!G23</f>
        <v>0.05</v>
      </c>
      <c r="H23" s="40" t="n">
        <f aca="false">Inputs!H23</f>
        <v>0.045</v>
      </c>
      <c r="I23" s="40" t="n">
        <f aca="false">Inputs!I23</f>
        <v>0.04</v>
      </c>
    </row>
    <row r="24" customFormat="false" ht="15" hidden="false" customHeight="false" outlineLevel="0" collapsed="false">
      <c r="B24" s="3" t="s">
        <v>134</v>
      </c>
      <c r="C24" s="21" t="n">
        <f aca="false">Historicals!D5</f>
        <v>32549</v>
      </c>
      <c r="D24" s="20" t="n">
        <f aca="false">C24*(1+D23)</f>
        <v>32972.137</v>
      </c>
      <c r="E24" s="20" t="n">
        <f aca="false">D24*(1+E23)</f>
        <v>34291.02248</v>
      </c>
      <c r="F24" s="20" t="n">
        <f aca="false">E24*(1+F23)</f>
        <v>36005.573604</v>
      </c>
      <c r="G24" s="20" t="n">
        <f aca="false">F24*(1+G23)</f>
        <v>37805.8522842</v>
      </c>
      <c r="H24" s="20" t="n">
        <f aca="false">G24*(1+H23)</f>
        <v>39507.115636989</v>
      </c>
      <c r="I24" s="20" t="n">
        <f aca="false">H24*(1+I23)</f>
        <v>41087.4002624686</v>
      </c>
    </row>
    <row r="25" customFormat="false" ht="15" hidden="false" customHeight="false" outlineLevel="0" collapsed="false">
      <c r="B25" s="3" t="s">
        <v>239</v>
      </c>
      <c r="D25" s="40" t="n">
        <f aca="false">Inputs!D29</f>
        <v>0.225</v>
      </c>
      <c r="E25" s="40" t="n">
        <f aca="false">Inputs!E29</f>
        <v>0.145</v>
      </c>
      <c r="F25" s="40" t="n">
        <f aca="false">Inputs!F29</f>
        <v>0.195</v>
      </c>
      <c r="G25" s="40" t="n">
        <f aca="false">Inputs!G29</f>
        <v>0.215</v>
      </c>
      <c r="H25" s="40" t="n">
        <f aca="false">Inputs!H29</f>
        <v>0.225</v>
      </c>
      <c r="I25" s="40" t="n">
        <f aca="false">Inputs!I29</f>
        <v>0.23</v>
      </c>
    </row>
    <row r="26" customFormat="false" ht="15" hidden="false" customHeight="false" outlineLevel="0" collapsed="false">
      <c r="B26" s="3" t="s">
        <v>143</v>
      </c>
      <c r="D26" s="20" t="n">
        <f aca="false">D24*D25</f>
        <v>7418.730825</v>
      </c>
      <c r="E26" s="20" t="n">
        <f aca="false">E24*E25</f>
        <v>4972.1982596</v>
      </c>
      <c r="F26" s="20" t="n">
        <f aca="false">F24*F25</f>
        <v>7021.08685278</v>
      </c>
      <c r="G26" s="20" t="n">
        <f aca="false">G24*G25</f>
        <v>8128.258241103</v>
      </c>
      <c r="H26" s="20" t="n">
        <f aca="false">H24*H25</f>
        <v>8889.10101832253</v>
      </c>
      <c r="I26" s="20" t="n">
        <f aca="false">I24*I25</f>
        <v>9450.10206036777</v>
      </c>
    </row>
    <row r="27" customFormat="false" ht="15" hidden="false" customHeight="false" outlineLevel="0" collapsed="false">
      <c r="B27" s="3" t="s">
        <v>171</v>
      </c>
      <c r="D27" s="20" t="n">
        <f aca="false">D26+D24*(Inputs!D34-Inputs!D35)</f>
        <v>7187.925866</v>
      </c>
      <c r="E27" s="20" t="n">
        <f aca="false">E26+E24*(Inputs!E34-Inputs!E35)</f>
        <v>4732.16110224</v>
      </c>
      <c r="F27" s="20" t="n">
        <f aca="false">F26+F24*(Inputs!F34-Inputs!F35)</f>
        <v>6769.047837552</v>
      </c>
      <c r="G27" s="20" t="n">
        <f aca="false">G26+G24*(Inputs!G34-Inputs!G35)</f>
        <v>7863.6172751136</v>
      </c>
      <c r="H27" s="20" t="n">
        <f aca="false">H26+H24*(Inputs!H34-Inputs!H35)</f>
        <v>8612.5512088636</v>
      </c>
      <c r="I27" s="20" t="n">
        <f aca="false">I26+I24*(Inputs!I34-Inputs!I35)</f>
        <v>9162.49025853049</v>
      </c>
    </row>
    <row r="28" customFormat="false" ht="15" hidden="false" customHeight="false" outlineLevel="0" collapsed="false">
      <c r="B28" s="3" t="s">
        <v>189</v>
      </c>
      <c r="D28" s="20" t="n">
        <f aca="false">D27*(1-Inputs!D39)</f>
        <v>5390.9443995</v>
      </c>
      <c r="E28" s="20" t="n">
        <f aca="false">E27*(1-Inputs!E39)</f>
        <v>3549.12082668</v>
      </c>
      <c r="F28" s="20" t="n">
        <f aca="false">F27*(1-Inputs!F39)</f>
        <v>5076.785878164</v>
      </c>
      <c r="G28" s="20" t="n">
        <f aca="false">G27*(1-Inputs!G39)</f>
        <v>5897.7129563352</v>
      </c>
      <c r="H28" s="20" t="n">
        <f aca="false">H27*(1-Inputs!H39)</f>
        <v>6459.4134066477</v>
      </c>
      <c r="I28" s="20" t="n">
        <f aca="false">I27*(1-Inputs!I39)</f>
        <v>6871.86769389787</v>
      </c>
    </row>
    <row r="29" customFormat="false" ht="15" hidden="false" customHeight="false" outlineLevel="0" collapsed="false">
      <c r="B29" s="3" t="s">
        <v>174</v>
      </c>
      <c r="D29" s="20" t="n">
        <f aca="false">D24*Inputs!D36</f>
        <v>1154.024795</v>
      </c>
      <c r="E29" s="20" t="n">
        <f aca="false">E24*Inputs!E36</f>
        <v>1200.1857868</v>
      </c>
      <c r="F29" s="20" t="n">
        <f aca="false">F24*Inputs!F36</f>
        <v>1260.19507614</v>
      </c>
      <c r="G29" s="20" t="n">
        <f aca="false">G24*Inputs!G36</f>
        <v>1323.204829947</v>
      </c>
      <c r="H29" s="20" t="n">
        <f aca="false">H24*Inputs!H36</f>
        <v>1382.74904729462</v>
      </c>
      <c r="I29" s="20" t="n">
        <f aca="false">I24*Inputs!I36</f>
        <v>1438.0590091864</v>
      </c>
    </row>
    <row r="30" customFormat="false" ht="15" hidden="false" customHeight="false" outlineLevel="0" collapsed="false">
      <c r="B30" s="3" t="s">
        <v>175</v>
      </c>
      <c r="D30" s="20" t="n">
        <f aca="false">-D24*Inputs!D37</f>
        <v>-2308.04959</v>
      </c>
      <c r="E30" s="20" t="n">
        <f aca="false">-E24*Inputs!E37</f>
        <v>-2228.9164612</v>
      </c>
      <c r="F30" s="20" t="n">
        <f aca="false">-F24*Inputs!F37</f>
        <v>-2160.33441624</v>
      </c>
      <c r="G30" s="20" t="n">
        <f aca="false">-G24*Inputs!G37</f>
        <v>-2268.351137052</v>
      </c>
      <c r="H30" s="20" t="n">
        <f aca="false">-H24*Inputs!H37</f>
        <v>-2291.41270694536</v>
      </c>
      <c r="I30" s="20" t="n">
        <f aca="false">-I24*Inputs!I37</f>
        <v>-2383.06921522318</v>
      </c>
    </row>
    <row r="31" customFormat="false" ht="15" hidden="false" customHeight="false" outlineLevel="0" collapsed="false">
      <c r="B31" s="3" t="s">
        <v>240</v>
      </c>
      <c r="C31" s="21" t="n">
        <f aca="false">Historicals!D29</f>
        <v>-352</v>
      </c>
      <c r="D31" s="20" t="n">
        <f aca="false">D24*Inputs!D38</f>
        <v>494.582055</v>
      </c>
      <c r="E31" s="20" t="n">
        <f aca="false">E24*Inputs!E38</f>
        <v>685.8204496</v>
      </c>
      <c r="F31" s="20" t="n">
        <f aca="false">F24*Inputs!F38</f>
        <v>360.05573604</v>
      </c>
      <c r="G31" s="20" t="n">
        <f aca="false">G24*Inputs!G38</f>
        <v>189.029261421</v>
      </c>
      <c r="H31" s="20" t="n">
        <f aca="false">H24*Inputs!H38</f>
        <v>197.535578184945</v>
      </c>
      <c r="I31" s="20" t="n">
        <f aca="false">I24*Inputs!I38</f>
        <v>205.437001312343</v>
      </c>
    </row>
    <row r="32" customFormat="false" ht="15" hidden="false" customHeight="false" outlineLevel="0" collapsed="false">
      <c r="B32" s="3" t="s">
        <v>191</v>
      </c>
      <c r="D32" s="20" t="n">
        <f aca="false">-(D31-C31)</f>
        <v>-846.582055</v>
      </c>
      <c r="E32" s="20" t="n">
        <f aca="false">-(E31-D31)</f>
        <v>-191.2383946</v>
      </c>
      <c r="F32" s="20" t="n">
        <f aca="false">-(F31-E31)</f>
        <v>325.76471356</v>
      </c>
      <c r="G32" s="20" t="n">
        <f aca="false">-(G31-F31)</f>
        <v>171.026474619</v>
      </c>
      <c r="H32" s="20" t="n">
        <f aca="false">-(H31-G31)</f>
        <v>-8.50631676394499</v>
      </c>
      <c r="I32" s="20" t="n">
        <f aca="false">-(I31-H31)</f>
        <v>-7.90142312739778</v>
      </c>
    </row>
    <row r="33" customFormat="false" ht="15" hidden="false" customHeight="false" outlineLevel="0" collapsed="false">
      <c r="B33" s="14" t="s">
        <v>241</v>
      </c>
      <c r="D33" s="36" t="n">
        <f aca="false">D28+D29+D30+D32</f>
        <v>3390.3375495</v>
      </c>
      <c r="E33" s="36" t="n">
        <f aca="false">E28+E29+E30+E32</f>
        <v>2329.15175768</v>
      </c>
      <c r="F33" s="36" t="n">
        <f aca="false">F28+F29+F30+F32</f>
        <v>4502.411251624</v>
      </c>
      <c r="G33" s="36" t="n">
        <f aca="false">G28+G29+G30+G32</f>
        <v>5123.5931238492</v>
      </c>
      <c r="H33" s="36" t="n">
        <f aca="false">H28+H29+H30+H32</f>
        <v>5542.24343023301</v>
      </c>
      <c r="I33" s="36" t="n">
        <f aca="false">I28+I29+I30+I32</f>
        <v>5918.9560647337</v>
      </c>
    </row>
    <row r="34" customFormat="false" ht="15" hidden="false" customHeight="false" outlineLevel="0" collapsed="false">
      <c r="B34" s="3" t="s">
        <v>242</v>
      </c>
      <c r="D34" s="20" t="n">
        <f aca="false">D33+DCF!D6</f>
        <v>2981.0875495</v>
      </c>
      <c r="E34" s="20" t="n">
        <f aca="false">E33+DCF!E6</f>
        <v>2329.15175768</v>
      </c>
      <c r="F34" s="20" t="n">
        <f aca="false">F33+DCF!F6</f>
        <v>4502.411251624</v>
      </c>
      <c r="G34" s="20" t="n">
        <f aca="false">G33+DCF!G6</f>
        <v>5123.5931238492</v>
      </c>
      <c r="H34" s="20" t="n">
        <f aca="false">H33+DCF!H6</f>
        <v>5542.24343023301</v>
      </c>
      <c r="I34" s="20" t="n">
        <f aca="false">I33+DCF!I6</f>
        <v>5918.9560647337</v>
      </c>
    </row>
    <row r="35" customFormat="false" ht="15" hidden="false" customHeight="false" outlineLevel="0" collapsed="false">
      <c r="B35" s="3" t="s">
        <v>243</v>
      </c>
      <c r="D35" s="20" t="n">
        <f aca="false">D34*DCF!D9</f>
        <v>2918.22656806219</v>
      </c>
      <c r="E35" s="20" t="n">
        <f aca="false">E34*DCF!E9</f>
        <v>2138.82322586807</v>
      </c>
      <c r="F35" s="20" t="n">
        <f aca="false">F34*DCF!F9</f>
        <v>3796.63958606307</v>
      </c>
      <c r="G35" s="20" t="n">
        <f aca="false">G34*DCF!G9</f>
        <v>3967.39964378451</v>
      </c>
      <c r="H35" s="20" t="n">
        <f aca="false">H34*DCF!H9</f>
        <v>3940.88732851431</v>
      </c>
      <c r="I35" s="20" t="n">
        <f aca="false">I34*DCF!I9</f>
        <v>3864.83219913394</v>
      </c>
    </row>
    <row r="36" customFormat="false" ht="15" hidden="false" customHeight="false" outlineLevel="0" collapsed="false">
      <c r="B36" s="3" t="s">
        <v>244</v>
      </c>
      <c r="D36" s="20" t="n">
        <f aca="false">SUM(D35:I35)+I33*(1+Inputs!$C$48)/(WACC!$C$16-Inputs!$C$48)/(1+WACC!$C$16)^DCF!$D$16</f>
        <v>79953.1979795104</v>
      </c>
    </row>
    <row r="37" customFormat="false" ht="15" hidden="false" customHeight="false" outlineLevel="0" collapsed="false">
      <c r="B37" s="3" t="s">
        <v>227</v>
      </c>
      <c r="D37" s="20" t="n">
        <f aca="false">D36-Inputs!$C$8</f>
        <v>70601.1979795104</v>
      </c>
    </row>
    <row r="38" customFormat="false" ht="15" hidden="false" customHeight="false" outlineLevel="0" collapsed="false">
      <c r="B38" s="14" t="s">
        <v>245</v>
      </c>
      <c r="D38" s="50" t="n">
        <f aca="false">D37/Inputs!$C$6</f>
        <v>943.866283148535</v>
      </c>
    </row>
    <row r="40" customFormat="false" ht="15" hidden="false" customHeight="false" outlineLevel="0" collapsed="false">
      <c r="A40" s="4"/>
      <c r="B40" s="5" t="s">
        <v>247</v>
      </c>
      <c r="C40" s="25" t="s">
        <v>180</v>
      </c>
      <c r="D40" s="25" t="s">
        <v>62</v>
      </c>
      <c r="E40" s="25" t="s">
        <v>63</v>
      </c>
      <c r="F40" s="25" t="s">
        <v>64</v>
      </c>
      <c r="G40" s="25" t="s">
        <v>65</v>
      </c>
      <c r="H40" s="25" t="s">
        <v>66</v>
      </c>
      <c r="I40" s="25" t="s">
        <v>67</v>
      </c>
    </row>
    <row r="41" customFormat="false" ht="15" hidden="false" customHeight="false" outlineLevel="0" collapsed="false">
      <c r="B41" s="3" t="s">
        <v>238</v>
      </c>
      <c r="D41" s="40" t="n">
        <f aca="false">Inputs!D24</f>
        <v>0.018</v>
      </c>
      <c r="E41" s="40" t="n">
        <f aca="false">Inputs!E24</f>
        <v>0.055</v>
      </c>
      <c r="F41" s="40" t="n">
        <f aca="false">Inputs!F24</f>
        <v>0.065</v>
      </c>
      <c r="G41" s="40" t="n">
        <f aca="false">Inputs!G24</f>
        <v>0.06</v>
      </c>
      <c r="H41" s="40" t="n">
        <f aca="false">Inputs!H24</f>
        <v>0.055</v>
      </c>
      <c r="I41" s="40" t="n">
        <f aca="false">Inputs!I24</f>
        <v>0.05</v>
      </c>
    </row>
    <row r="42" customFormat="false" ht="15" hidden="false" customHeight="false" outlineLevel="0" collapsed="false">
      <c r="B42" s="3" t="s">
        <v>134</v>
      </c>
      <c r="C42" s="21" t="n">
        <f aca="false">Historicals!D5</f>
        <v>32549</v>
      </c>
      <c r="D42" s="20" t="n">
        <f aca="false">C42*(1+D41)</f>
        <v>33134.882</v>
      </c>
      <c r="E42" s="20" t="n">
        <f aca="false">D42*(1+E41)</f>
        <v>34957.30051</v>
      </c>
      <c r="F42" s="20" t="n">
        <f aca="false">E42*(1+F41)</f>
        <v>37229.52504315</v>
      </c>
      <c r="G42" s="20" t="n">
        <f aca="false">F42*(1+G41)</f>
        <v>39463.296545739</v>
      </c>
      <c r="H42" s="20" t="n">
        <f aca="false">G42*(1+H41)</f>
        <v>41633.7778557546</v>
      </c>
      <c r="I42" s="20" t="n">
        <f aca="false">H42*(1+I41)</f>
        <v>43715.4667485424</v>
      </c>
    </row>
    <row r="43" customFormat="false" ht="15" hidden="false" customHeight="false" outlineLevel="0" collapsed="false">
      <c r="B43" s="3" t="s">
        <v>239</v>
      </c>
      <c r="D43" s="40" t="n">
        <f aca="false">Inputs!D30</f>
        <v>0.23</v>
      </c>
      <c r="E43" s="40" t="n">
        <f aca="false">Inputs!E30</f>
        <v>0.165</v>
      </c>
      <c r="F43" s="40" t="n">
        <f aca="false">Inputs!F30</f>
        <v>0.215</v>
      </c>
      <c r="G43" s="40" t="n">
        <f aca="false">Inputs!G30</f>
        <v>0.235</v>
      </c>
      <c r="H43" s="40" t="n">
        <f aca="false">Inputs!H30</f>
        <v>0.245</v>
      </c>
      <c r="I43" s="40" t="n">
        <f aca="false">Inputs!I30</f>
        <v>0.25</v>
      </c>
    </row>
    <row r="44" customFormat="false" ht="15" hidden="false" customHeight="false" outlineLevel="0" collapsed="false">
      <c r="B44" s="3" t="s">
        <v>143</v>
      </c>
      <c r="D44" s="20" t="n">
        <f aca="false">D42*D43</f>
        <v>7621.02286</v>
      </c>
      <c r="E44" s="20" t="n">
        <f aca="false">E42*E43</f>
        <v>5767.95458415</v>
      </c>
      <c r="F44" s="20" t="n">
        <f aca="false">F42*F43</f>
        <v>8004.34788427725</v>
      </c>
      <c r="G44" s="20" t="n">
        <f aca="false">G42*G43</f>
        <v>9273.87468824866</v>
      </c>
      <c r="H44" s="20" t="n">
        <f aca="false">H42*H43</f>
        <v>10200.2755746599</v>
      </c>
      <c r="I44" s="20" t="n">
        <f aca="false">I42*I43</f>
        <v>10928.8666871356</v>
      </c>
    </row>
    <row r="45" customFormat="false" ht="15" hidden="false" customHeight="false" outlineLevel="0" collapsed="false">
      <c r="B45" s="3" t="s">
        <v>171</v>
      </c>
      <c r="D45" s="20" t="n">
        <f aca="false">D44+D42*(Inputs!D34-Inputs!D35)</f>
        <v>7389.078686</v>
      </c>
      <c r="E45" s="20" t="n">
        <f aca="false">E44+E42*(Inputs!E34-Inputs!E35)</f>
        <v>5523.25348058</v>
      </c>
      <c r="F45" s="20" t="n">
        <f aca="false">F44+F42*(Inputs!F34-Inputs!F35)</f>
        <v>7743.7412089752</v>
      </c>
      <c r="G45" s="20" t="n">
        <f aca="false">G44+G42*(Inputs!G34-Inputs!G35)</f>
        <v>8997.63161242849</v>
      </c>
      <c r="H45" s="20" t="n">
        <f aca="false">H44+H42*(Inputs!H34-Inputs!H35)</f>
        <v>9908.8391296696</v>
      </c>
      <c r="I45" s="20" t="n">
        <f aca="false">I44+I42*(Inputs!I34-Inputs!I35)</f>
        <v>10622.8584198958</v>
      </c>
    </row>
    <row r="46" customFormat="false" ht="15" hidden="false" customHeight="false" outlineLevel="0" collapsed="false">
      <c r="B46" s="3" t="s">
        <v>189</v>
      </c>
      <c r="D46" s="20" t="n">
        <f aca="false">D45*(1-Inputs!D39)</f>
        <v>5541.8090145</v>
      </c>
      <c r="E46" s="20" t="n">
        <f aca="false">E45*(1-Inputs!E39)</f>
        <v>4142.440110435</v>
      </c>
      <c r="F46" s="20" t="n">
        <f aca="false">F45*(1-Inputs!F39)</f>
        <v>5807.8059067314</v>
      </c>
      <c r="G46" s="20" t="n">
        <f aca="false">G45*(1-Inputs!G39)</f>
        <v>6748.22370932137</v>
      </c>
      <c r="H46" s="20" t="n">
        <f aca="false">H45*(1-Inputs!H39)</f>
        <v>7431.6293472522</v>
      </c>
      <c r="I46" s="20" t="n">
        <f aca="false">I45*(1-Inputs!I39)</f>
        <v>7967.14381492185</v>
      </c>
    </row>
    <row r="47" customFormat="false" ht="15" hidden="false" customHeight="false" outlineLevel="0" collapsed="false">
      <c r="B47" s="3" t="s">
        <v>174</v>
      </c>
      <c r="D47" s="20" t="n">
        <f aca="false">D42*Inputs!D36</f>
        <v>1159.72087</v>
      </c>
      <c r="E47" s="20" t="n">
        <f aca="false">E42*Inputs!E36</f>
        <v>1223.50551785</v>
      </c>
      <c r="F47" s="20" t="n">
        <f aca="false">F42*Inputs!F36</f>
        <v>1303.03337651025</v>
      </c>
      <c r="G47" s="20" t="n">
        <f aca="false">G42*Inputs!G36</f>
        <v>1381.21537910086</v>
      </c>
      <c r="H47" s="20" t="n">
        <f aca="false">H42*Inputs!H36</f>
        <v>1457.18222495141</v>
      </c>
      <c r="I47" s="20" t="n">
        <f aca="false">I42*Inputs!I36</f>
        <v>1530.04133619898</v>
      </c>
    </row>
    <row r="48" customFormat="false" ht="15" hidden="false" customHeight="false" outlineLevel="0" collapsed="false">
      <c r="B48" s="3" t="s">
        <v>175</v>
      </c>
      <c r="D48" s="20" t="n">
        <f aca="false">-D42*Inputs!D37</f>
        <v>-2319.44174</v>
      </c>
      <c r="E48" s="20" t="n">
        <f aca="false">-E42*Inputs!E37</f>
        <v>-2272.22453315</v>
      </c>
      <c r="F48" s="20" t="n">
        <f aca="false">-F42*Inputs!F37</f>
        <v>-2233.771502589</v>
      </c>
      <c r="G48" s="20" t="n">
        <f aca="false">-G42*Inputs!G37</f>
        <v>-2367.79779274434</v>
      </c>
      <c r="H48" s="20" t="n">
        <f aca="false">-H42*Inputs!H37</f>
        <v>-2414.75911563377</v>
      </c>
      <c r="I48" s="20" t="n">
        <f aca="false">-I42*Inputs!I37</f>
        <v>-2535.49707141546</v>
      </c>
    </row>
    <row r="49" customFormat="false" ht="15" hidden="false" customHeight="false" outlineLevel="0" collapsed="false">
      <c r="B49" s="3" t="s">
        <v>240</v>
      </c>
      <c r="C49" s="21" t="n">
        <f aca="false">Historicals!D29</f>
        <v>-352</v>
      </c>
      <c r="D49" s="20" t="n">
        <f aca="false">D42*Inputs!D38</f>
        <v>497.02323</v>
      </c>
      <c r="E49" s="20" t="n">
        <f aca="false">E42*Inputs!E38</f>
        <v>699.1460102</v>
      </c>
      <c r="F49" s="20" t="n">
        <f aca="false">F42*Inputs!F38</f>
        <v>372.2952504315</v>
      </c>
      <c r="G49" s="20" t="n">
        <f aca="false">G42*Inputs!G38</f>
        <v>197.316482728695</v>
      </c>
      <c r="H49" s="20" t="n">
        <f aca="false">H42*Inputs!H38</f>
        <v>208.168889278773</v>
      </c>
      <c r="I49" s="20" t="n">
        <f aca="false">I42*Inputs!I38</f>
        <v>218.577333742712</v>
      </c>
    </row>
    <row r="50" customFormat="false" ht="15" hidden="false" customHeight="false" outlineLevel="0" collapsed="false">
      <c r="B50" s="3" t="s">
        <v>191</v>
      </c>
      <c r="D50" s="20" t="n">
        <f aca="false">-(D49-C49)</f>
        <v>-849.02323</v>
      </c>
      <c r="E50" s="20" t="n">
        <f aca="false">-(E49-D49)</f>
        <v>-202.1227802</v>
      </c>
      <c r="F50" s="20" t="n">
        <f aca="false">-(F49-E49)</f>
        <v>326.8507597685</v>
      </c>
      <c r="G50" s="20" t="n">
        <f aca="false">-(G49-F49)</f>
        <v>174.978767702805</v>
      </c>
      <c r="H50" s="20" t="n">
        <f aca="false">-(H49-G49)</f>
        <v>-10.8524065500782</v>
      </c>
      <c r="I50" s="20" t="n">
        <f aca="false">-(I49-H49)</f>
        <v>-10.4084444639387</v>
      </c>
    </row>
    <row r="51" customFormat="false" ht="15" hidden="false" customHeight="false" outlineLevel="0" collapsed="false">
      <c r="B51" s="14" t="s">
        <v>241</v>
      </c>
      <c r="D51" s="36" t="n">
        <f aca="false">D46+D47+D48+D50</f>
        <v>3533.0649145</v>
      </c>
      <c r="E51" s="36" t="n">
        <f aca="false">E46+E47+E48+E50</f>
        <v>2891.598314935</v>
      </c>
      <c r="F51" s="36" t="n">
        <f aca="false">F46+F47+F48+F50</f>
        <v>5203.91854042115</v>
      </c>
      <c r="G51" s="36" t="n">
        <f aca="false">G46+G47+G48+G50</f>
        <v>5936.6200633807</v>
      </c>
      <c r="H51" s="36" t="n">
        <f aca="false">H46+H47+H48+H50</f>
        <v>6463.20005001977</v>
      </c>
      <c r="I51" s="36" t="n">
        <f aca="false">I46+I47+I48+I50</f>
        <v>6951.27963524143</v>
      </c>
    </row>
    <row r="52" customFormat="false" ht="15" hidden="false" customHeight="false" outlineLevel="0" collapsed="false">
      <c r="B52" s="3" t="s">
        <v>242</v>
      </c>
      <c r="D52" s="20" t="n">
        <f aca="false">D51+DCF!D6</f>
        <v>3123.8149145</v>
      </c>
      <c r="E52" s="20" t="n">
        <f aca="false">E51+DCF!E6</f>
        <v>2891.598314935</v>
      </c>
      <c r="F52" s="20" t="n">
        <f aca="false">F51+DCF!F6</f>
        <v>5203.91854042115</v>
      </c>
      <c r="G52" s="20" t="n">
        <f aca="false">G51+DCF!G6</f>
        <v>5936.6200633807</v>
      </c>
      <c r="H52" s="20" t="n">
        <f aca="false">H51+DCF!H6</f>
        <v>6463.20005001977</v>
      </c>
      <c r="I52" s="20" t="n">
        <f aca="false">I51+DCF!I6</f>
        <v>6951.27963524143</v>
      </c>
    </row>
    <row r="53" customFormat="false" ht="15" hidden="false" customHeight="false" outlineLevel="0" collapsed="false">
      <c r="B53" s="3" t="s">
        <v>243</v>
      </c>
      <c r="D53" s="20" t="n">
        <f aca="false">D52*DCF!D9</f>
        <v>3057.94429913063</v>
      </c>
      <c r="E53" s="20" t="n">
        <f aca="false">E52*DCF!E9</f>
        <v>2655.30900486461</v>
      </c>
      <c r="F53" s="20" t="n">
        <f aca="false">F52*DCF!F9</f>
        <v>4388.18269345878</v>
      </c>
      <c r="G53" s="20" t="n">
        <f aca="false">G52*DCF!G9</f>
        <v>4596.95837577477</v>
      </c>
      <c r="H53" s="20" t="n">
        <f aca="false">H52*DCF!H9</f>
        <v>4595.74601863078</v>
      </c>
      <c r="I53" s="20" t="n">
        <f aca="false">I52*DCF!I9</f>
        <v>4538.89656649679</v>
      </c>
    </row>
    <row r="54" customFormat="false" ht="15" hidden="false" customHeight="false" outlineLevel="0" collapsed="false">
      <c r="B54" s="3" t="s">
        <v>244</v>
      </c>
      <c r="D54" s="20" t="n">
        <f aca="false">SUM(D53:I53)+I51*(1+Inputs!$C$48)/(WACC!$C$16-Inputs!$C$48)/(1+WACC!$C$16)^DCF!$D$16</f>
        <v>93506.5263631809</v>
      </c>
    </row>
    <row r="55" customFormat="false" ht="15" hidden="false" customHeight="false" outlineLevel="0" collapsed="false">
      <c r="B55" s="3" t="s">
        <v>227</v>
      </c>
      <c r="D55" s="20" t="n">
        <f aca="false">D54-Inputs!$C$8</f>
        <v>84154.5263631809</v>
      </c>
    </row>
    <row r="56" customFormat="false" ht="15" hidden="false" customHeight="false" outlineLevel="0" collapsed="false">
      <c r="B56" s="14" t="s">
        <v>245</v>
      </c>
      <c r="D56" s="50" t="n">
        <f aca="false">D55/Inputs!$C$6</f>
        <v>1125.06051287675</v>
      </c>
    </row>
    <row r="58" customFormat="false" ht="15" hidden="false" customHeight="false" outlineLevel="0" collapsed="false">
      <c r="B58" s="54" t="s">
        <v>248</v>
      </c>
      <c r="D58" s="42" t="n">
        <f aca="false">IF(Inputs!C18=2,ROUND(D38-DCF!D23,6),"n.a.")</f>
        <v>0</v>
      </c>
    </row>
    <row r="61" customFormat="false" ht="15" hidden="false" customHeight="false" outlineLevel="0" collapsed="false">
      <c r="A61" s="4"/>
      <c r="B61" s="5" t="s">
        <v>249</v>
      </c>
      <c r="C61" s="4"/>
      <c r="D61" s="4"/>
      <c r="E61" s="4"/>
      <c r="F61" s="4"/>
      <c r="G61" s="4"/>
      <c r="H61" s="4"/>
      <c r="I61" s="4"/>
    </row>
    <row r="62" customFormat="false" ht="15" hidden="false" customHeight="false" outlineLevel="0" collapsed="false">
      <c r="B62" s="3" t="s">
        <v>250</v>
      </c>
      <c r="C62" s="26" t="n">
        <v>0.15</v>
      </c>
    </row>
    <row r="63" customFormat="false" ht="15" hidden="false" customHeight="false" outlineLevel="0" collapsed="false">
      <c r="B63" s="3" t="s">
        <v>251</v>
      </c>
      <c r="C63" s="26" t="n">
        <v>0.25</v>
      </c>
    </row>
    <row r="64" customFormat="false" ht="15" hidden="false" customHeight="false" outlineLevel="0" collapsed="false">
      <c r="B64" s="17" t="s">
        <v>252</v>
      </c>
    </row>
    <row r="66" customFormat="false" ht="15" hidden="false" customHeight="false" outlineLevel="0" collapsed="false">
      <c r="A66" s="4"/>
      <c r="B66" s="5" t="s">
        <v>253</v>
      </c>
      <c r="C66" s="25" t="s">
        <v>180</v>
      </c>
      <c r="D66" s="25" t="s">
        <v>62</v>
      </c>
      <c r="E66" s="25" t="s">
        <v>63</v>
      </c>
      <c r="F66" s="25" t="s">
        <v>64</v>
      </c>
      <c r="G66" s="25" t="s">
        <v>65</v>
      </c>
      <c r="H66" s="25" t="s">
        <v>66</v>
      </c>
      <c r="I66" s="25" t="s">
        <v>67</v>
      </c>
    </row>
    <row r="67" customFormat="false" ht="15" hidden="false" customHeight="false" outlineLevel="0" collapsed="false">
      <c r="B67" s="3" t="s">
        <v>238</v>
      </c>
      <c r="D67" s="40" t="n">
        <f aca="false">Inputs!D23</f>
        <v>0.013</v>
      </c>
      <c r="E67" s="40" t="n">
        <f aca="false">Inputs!E23</f>
        <v>0.04</v>
      </c>
      <c r="F67" s="40" t="n">
        <f aca="false">Inputs!F23</f>
        <v>0.05</v>
      </c>
      <c r="G67" s="40" t="n">
        <f aca="false">Inputs!G23</f>
        <v>0.05</v>
      </c>
      <c r="H67" s="40" t="n">
        <f aca="false">Inputs!H23</f>
        <v>0.045</v>
      </c>
      <c r="I67" s="40" t="n">
        <f aca="false">Inputs!I23</f>
        <v>0.04</v>
      </c>
    </row>
    <row r="68" customFormat="false" ht="15" hidden="false" customHeight="false" outlineLevel="0" collapsed="false">
      <c r="B68" s="3" t="s">
        <v>134</v>
      </c>
      <c r="C68" s="21" t="n">
        <f aca="false">Historicals!D5</f>
        <v>32549</v>
      </c>
      <c r="D68" s="20" t="n">
        <f aca="false">C68*(1+D67)</f>
        <v>32972.137</v>
      </c>
      <c r="E68" s="20" t="n">
        <f aca="false">D68*(1+E67)</f>
        <v>34291.02248</v>
      </c>
      <c r="F68" s="20" t="n">
        <f aca="false">E68*(1+F67)</f>
        <v>36005.573604</v>
      </c>
      <c r="G68" s="20" t="n">
        <f aca="false">F68*(1+G67)</f>
        <v>37805.8522842</v>
      </c>
      <c r="H68" s="20" t="n">
        <f aca="false">G68*(1+H67)</f>
        <v>39507.115636989</v>
      </c>
      <c r="I68" s="20" t="n">
        <f aca="false">H68*(1+I67)</f>
        <v>41087.4002624686</v>
      </c>
    </row>
    <row r="69" customFormat="false" ht="15" hidden="false" customHeight="false" outlineLevel="0" collapsed="false">
      <c r="B69" s="3" t="s">
        <v>239</v>
      </c>
      <c r="D69" s="40" t="n">
        <f aca="false">Inputs!D29</f>
        <v>0.225</v>
      </c>
      <c r="E69" s="40" t="n">
        <f aca="false">Inputs!E29</f>
        <v>0.145</v>
      </c>
      <c r="F69" s="40" t="n">
        <f aca="false">Inputs!F29</f>
        <v>0.195</v>
      </c>
      <c r="G69" s="30" t="n">
        <f aca="false">$C$62</f>
        <v>0.15</v>
      </c>
      <c r="H69" s="30" t="n">
        <f aca="false">$C$62</f>
        <v>0.15</v>
      </c>
      <c r="I69" s="30" t="n">
        <f aca="false">$C$62</f>
        <v>0.15</v>
      </c>
    </row>
    <row r="70" customFormat="false" ht="15" hidden="false" customHeight="false" outlineLevel="0" collapsed="false">
      <c r="B70" s="3" t="s">
        <v>143</v>
      </c>
      <c r="D70" s="20" t="n">
        <f aca="false">D68*D69</f>
        <v>7418.730825</v>
      </c>
      <c r="E70" s="20" t="n">
        <f aca="false">E68*E69</f>
        <v>4972.1982596</v>
      </c>
      <c r="F70" s="20" t="n">
        <f aca="false">F68*F69</f>
        <v>7021.08685278</v>
      </c>
      <c r="G70" s="20" t="n">
        <f aca="false">G68*G69</f>
        <v>5670.87784263</v>
      </c>
      <c r="H70" s="20" t="n">
        <f aca="false">H68*H69</f>
        <v>5926.06734554835</v>
      </c>
      <c r="I70" s="20" t="n">
        <f aca="false">I68*I69</f>
        <v>6163.11003937028</v>
      </c>
    </row>
    <row r="71" customFormat="false" ht="15" hidden="false" customHeight="false" outlineLevel="0" collapsed="false">
      <c r="B71" s="3" t="s">
        <v>171</v>
      </c>
      <c r="D71" s="20" t="n">
        <f aca="false">D70+D68*(Inputs!D34-Inputs!D35)</f>
        <v>7187.925866</v>
      </c>
      <c r="E71" s="20" t="n">
        <f aca="false">E70+E68*(Inputs!E34-Inputs!E35)</f>
        <v>4732.16110224</v>
      </c>
      <c r="F71" s="20" t="n">
        <f aca="false">F70+F68*(Inputs!F34-Inputs!F35)</f>
        <v>6769.047837552</v>
      </c>
      <c r="G71" s="20" t="n">
        <f aca="false">G70+G68*(Inputs!G34-Inputs!G35)</f>
        <v>5406.2368766406</v>
      </c>
      <c r="H71" s="20" t="n">
        <f aca="false">H70+H68*(Inputs!H34-Inputs!H35)</f>
        <v>5649.51753608943</v>
      </c>
      <c r="I71" s="20" t="n">
        <f aca="false">I70+I68*(Inputs!I34-Inputs!I35)</f>
        <v>5875.49823753301</v>
      </c>
    </row>
    <row r="72" customFormat="false" ht="15" hidden="false" customHeight="false" outlineLevel="0" collapsed="false">
      <c r="B72" s="3" t="s">
        <v>189</v>
      </c>
      <c r="D72" s="20" t="n">
        <f aca="false">D71*(1-Inputs!D39)</f>
        <v>5390.9443995</v>
      </c>
      <c r="E72" s="20" t="n">
        <f aca="false">E71*(1-Inputs!E39)</f>
        <v>3549.12082668</v>
      </c>
      <c r="F72" s="20" t="n">
        <f aca="false">F71*(1-Inputs!F39)</f>
        <v>5076.785878164</v>
      </c>
      <c r="G72" s="20" t="n">
        <f aca="false">G71*(1-Inputs!G39)</f>
        <v>4054.67765748045</v>
      </c>
      <c r="H72" s="20" t="n">
        <f aca="false">H71*(1-Inputs!H39)</f>
        <v>4237.13815206707</v>
      </c>
      <c r="I72" s="20" t="n">
        <f aca="false">I71*(1-Inputs!I39)</f>
        <v>4406.62367814975</v>
      </c>
    </row>
    <row r="73" customFormat="false" ht="15" hidden="false" customHeight="false" outlineLevel="0" collapsed="false">
      <c r="B73" s="3" t="s">
        <v>174</v>
      </c>
      <c r="D73" s="20" t="n">
        <f aca="false">D68*Inputs!D36</f>
        <v>1154.024795</v>
      </c>
      <c r="E73" s="20" t="n">
        <f aca="false">E68*Inputs!E36</f>
        <v>1200.1857868</v>
      </c>
      <c r="F73" s="20" t="n">
        <f aca="false">F68*Inputs!F36</f>
        <v>1260.19507614</v>
      </c>
      <c r="G73" s="20" t="n">
        <f aca="false">G68*Inputs!G36</f>
        <v>1323.204829947</v>
      </c>
      <c r="H73" s="20" t="n">
        <f aca="false">H68*Inputs!H36</f>
        <v>1382.74904729462</v>
      </c>
      <c r="I73" s="20" t="n">
        <f aca="false">I68*Inputs!I36</f>
        <v>1438.0590091864</v>
      </c>
    </row>
    <row r="74" customFormat="false" ht="15" hidden="false" customHeight="false" outlineLevel="0" collapsed="false">
      <c r="B74" s="3" t="s">
        <v>175</v>
      </c>
      <c r="D74" s="20" t="n">
        <f aca="false">-D68*Inputs!D37</f>
        <v>-2308.04959</v>
      </c>
      <c r="E74" s="20" t="n">
        <f aca="false">-E68*Inputs!E37</f>
        <v>-2228.9164612</v>
      </c>
      <c r="F74" s="20" t="n">
        <f aca="false">-F68*Inputs!F37</f>
        <v>-2160.33441624</v>
      </c>
      <c r="G74" s="20" t="n">
        <f aca="false">-G68*Inputs!G37</f>
        <v>-2268.351137052</v>
      </c>
      <c r="H74" s="20" t="n">
        <f aca="false">-H68*Inputs!H37</f>
        <v>-2291.41270694536</v>
      </c>
      <c r="I74" s="20" t="n">
        <f aca="false">-I68*Inputs!I37</f>
        <v>-2383.06921522318</v>
      </c>
    </row>
    <row r="75" customFormat="false" ht="15" hidden="false" customHeight="false" outlineLevel="0" collapsed="false">
      <c r="B75" s="3" t="s">
        <v>240</v>
      </c>
      <c r="C75" s="21" t="n">
        <f aca="false">Historicals!D29</f>
        <v>-352</v>
      </c>
      <c r="D75" s="20" t="n">
        <f aca="false">D68*Inputs!D38</f>
        <v>494.582055</v>
      </c>
      <c r="E75" s="20" t="n">
        <f aca="false">E68*Inputs!E38</f>
        <v>685.8204496</v>
      </c>
      <c r="F75" s="20" t="n">
        <f aca="false">F68*Inputs!F38</f>
        <v>360.05573604</v>
      </c>
      <c r="G75" s="20" t="n">
        <f aca="false">G68*Inputs!G38</f>
        <v>189.029261421</v>
      </c>
      <c r="H75" s="20" t="n">
        <f aca="false">H68*Inputs!H38</f>
        <v>197.535578184945</v>
      </c>
      <c r="I75" s="20" t="n">
        <f aca="false">I68*Inputs!I38</f>
        <v>205.437001312343</v>
      </c>
    </row>
    <row r="76" customFormat="false" ht="15" hidden="false" customHeight="false" outlineLevel="0" collapsed="false">
      <c r="B76" s="3" t="s">
        <v>191</v>
      </c>
      <c r="D76" s="20" t="n">
        <f aca="false">-(D75-C75)</f>
        <v>-846.582055</v>
      </c>
      <c r="E76" s="20" t="n">
        <f aca="false">-(E75-D75)</f>
        <v>-191.2383946</v>
      </c>
      <c r="F76" s="20" t="n">
        <f aca="false">-(F75-E75)</f>
        <v>325.76471356</v>
      </c>
      <c r="G76" s="20" t="n">
        <f aca="false">-(G75-F75)</f>
        <v>171.026474619</v>
      </c>
      <c r="H76" s="20" t="n">
        <f aca="false">-(H75-G75)</f>
        <v>-8.50631676394499</v>
      </c>
      <c r="I76" s="20" t="n">
        <f aca="false">-(I75-H75)</f>
        <v>-7.90142312739778</v>
      </c>
    </row>
    <row r="77" customFormat="false" ht="15" hidden="false" customHeight="false" outlineLevel="0" collapsed="false">
      <c r="B77" s="14" t="s">
        <v>241</v>
      </c>
      <c r="D77" s="36" t="n">
        <f aca="false">D72+D73+D74+D76</f>
        <v>3390.3375495</v>
      </c>
      <c r="E77" s="36" t="n">
        <f aca="false">E72+E73+E74+E76</f>
        <v>2329.15175768</v>
      </c>
      <c r="F77" s="36" t="n">
        <f aca="false">F72+F73+F74+F76</f>
        <v>4502.411251624</v>
      </c>
      <c r="G77" s="36" t="n">
        <f aca="false">G72+G73+G74+G76</f>
        <v>3280.55782499445</v>
      </c>
      <c r="H77" s="36" t="n">
        <f aca="false">H72+H73+H74+H76</f>
        <v>3319.96817565238</v>
      </c>
      <c r="I77" s="36" t="n">
        <f aca="false">I72+I73+I74+I76</f>
        <v>3453.71204898558</v>
      </c>
    </row>
    <row r="78" customFormat="false" ht="15" hidden="false" customHeight="false" outlineLevel="0" collapsed="false">
      <c r="B78" s="3" t="s">
        <v>242</v>
      </c>
      <c r="D78" s="20" t="n">
        <f aca="false">D77+DCF!D6</f>
        <v>2981.0875495</v>
      </c>
      <c r="E78" s="20" t="n">
        <f aca="false">E77+DCF!E6</f>
        <v>2329.15175768</v>
      </c>
      <c r="F78" s="20" t="n">
        <f aca="false">F77+DCF!F6</f>
        <v>4502.411251624</v>
      </c>
      <c r="G78" s="20" t="n">
        <f aca="false">G77+DCF!G6</f>
        <v>3280.55782499445</v>
      </c>
      <c r="H78" s="20" t="n">
        <f aca="false">H77+DCF!H6</f>
        <v>3319.96817565238</v>
      </c>
      <c r="I78" s="20" t="n">
        <f aca="false">I77+DCF!I6</f>
        <v>3453.71204898558</v>
      </c>
    </row>
    <row r="79" customFormat="false" ht="15" hidden="false" customHeight="false" outlineLevel="0" collapsed="false">
      <c r="B79" s="3" t="s">
        <v>243</v>
      </c>
      <c r="D79" s="20" t="n">
        <f aca="false">D78*DCF!D9</f>
        <v>2918.22656806219</v>
      </c>
      <c r="E79" s="20" t="n">
        <f aca="false">E78*DCF!E9</f>
        <v>2138.82322586807</v>
      </c>
      <c r="F79" s="20" t="n">
        <f aca="false">F78*DCF!F9</f>
        <v>3796.63958606307</v>
      </c>
      <c r="G79" s="20" t="n">
        <f aca="false">G78*DCF!G9</f>
        <v>2540.26493355107</v>
      </c>
      <c r="H79" s="20" t="n">
        <f aca="false">H78*DCF!H9</f>
        <v>2360.70838085673</v>
      </c>
      <c r="I79" s="20" t="n">
        <f aca="false">I78*DCF!I9</f>
        <v>2255.13036208977</v>
      </c>
    </row>
    <row r="80" customFormat="false" ht="15" hidden="false" customHeight="false" outlineLevel="0" collapsed="false">
      <c r="B80" s="3" t="s">
        <v>244</v>
      </c>
      <c r="D80" s="20" t="n">
        <f aca="false">SUM(D79:I79)+I77*(1+Inputs!$C$48)/(WACC!$C$16-Inputs!$C$48)/(1+WACC!$C$16)^DCF!$D$16</f>
        <v>50626.7531673114</v>
      </c>
    </row>
    <row r="81" customFormat="false" ht="15" hidden="false" customHeight="false" outlineLevel="0" collapsed="false">
      <c r="B81" s="3" t="s">
        <v>227</v>
      </c>
      <c r="D81" s="20" t="n">
        <f aca="false">D80-Inputs!$C$8</f>
        <v>41274.7531673114</v>
      </c>
    </row>
    <row r="82" customFormat="false" ht="15" hidden="false" customHeight="false" outlineLevel="0" collapsed="false">
      <c r="B82" s="14" t="s">
        <v>245</v>
      </c>
      <c r="D82" s="50" t="n">
        <f aca="false">D81/Inputs!$C$6</f>
        <v>551.801512931971</v>
      </c>
    </row>
    <row r="84" customFormat="false" ht="15" hidden="false" customHeight="false" outlineLevel="0" collapsed="false">
      <c r="A84" s="4"/>
      <c r="B84" s="5" t="s">
        <v>254</v>
      </c>
      <c r="C84" s="25" t="s">
        <v>180</v>
      </c>
      <c r="D84" s="25" t="s">
        <v>62</v>
      </c>
      <c r="E84" s="25" t="s">
        <v>63</v>
      </c>
      <c r="F84" s="25" t="s">
        <v>64</v>
      </c>
      <c r="G84" s="25" t="s">
        <v>65</v>
      </c>
      <c r="H84" s="25" t="s">
        <v>66</v>
      </c>
      <c r="I84" s="25" t="s">
        <v>67</v>
      </c>
    </row>
    <row r="85" customFormat="false" ht="15" hidden="false" customHeight="false" outlineLevel="0" collapsed="false">
      <c r="B85" s="3" t="s">
        <v>238</v>
      </c>
      <c r="D85" s="40" t="n">
        <f aca="false">Inputs!D23</f>
        <v>0.013</v>
      </c>
      <c r="E85" s="40" t="n">
        <f aca="false">Inputs!E23</f>
        <v>0.04</v>
      </c>
      <c r="F85" s="40" t="n">
        <f aca="false">Inputs!F23</f>
        <v>0.05</v>
      </c>
      <c r="G85" s="40" t="n">
        <f aca="false">Inputs!G23</f>
        <v>0.05</v>
      </c>
      <c r="H85" s="40" t="n">
        <f aca="false">Inputs!H23</f>
        <v>0.045</v>
      </c>
      <c r="I85" s="40" t="n">
        <f aca="false">Inputs!I23</f>
        <v>0.04</v>
      </c>
    </row>
    <row r="86" customFormat="false" ht="15" hidden="false" customHeight="false" outlineLevel="0" collapsed="false">
      <c r="B86" s="3" t="s">
        <v>134</v>
      </c>
      <c r="C86" s="21" t="n">
        <f aca="false">Historicals!D5</f>
        <v>32549</v>
      </c>
      <c r="D86" s="20" t="n">
        <f aca="false">C86*(1+D85)</f>
        <v>32972.137</v>
      </c>
      <c r="E86" s="20" t="n">
        <f aca="false">D86*(1+E85)</f>
        <v>34291.02248</v>
      </c>
      <c r="F86" s="20" t="n">
        <f aca="false">E86*(1+F85)</f>
        <v>36005.573604</v>
      </c>
      <c r="G86" s="20" t="n">
        <f aca="false">F86*(1+G85)</f>
        <v>37805.8522842</v>
      </c>
      <c r="H86" s="20" t="n">
        <f aca="false">G86*(1+H85)</f>
        <v>39507.115636989</v>
      </c>
      <c r="I86" s="20" t="n">
        <f aca="false">H86*(1+I85)</f>
        <v>41087.4002624686</v>
      </c>
    </row>
    <row r="87" customFormat="false" ht="15" hidden="false" customHeight="false" outlineLevel="0" collapsed="false">
      <c r="B87" s="3" t="s">
        <v>239</v>
      </c>
      <c r="D87" s="40" t="n">
        <f aca="false">Inputs!D29</f>
        <v>0.225</v>
      </c>
      <c r="E87" s="40" t="n">
        <f aca="false">Inputs!E29</f>
        <v>0.145</v>
      </c>
      <c r="F87" s="40" t="n">
        <f aca="false">Inputs!F29</f>
        <v>0.195</v>
      </c>
      <c r="G87" s="30" t="n">
        <f aca="false">$C$63</f>
        <v>0.25</v>
      </c>
      <c r="H87" s="30" t="n">
        <f aca="false">$C$63</f>
        <v>0.25</v>
      </c>
      <c r="I87" s="30" t="n">
        <f aca="false">$C$63</f>
        <v>0.25</v>
      </c>
    </row>
    <row r="88" customFormat="false" ht="15" hidden="false" customHeight="false" outlineLevel="0" collapsed="false">
      <c r="B88" s="3" t="s">
        <v>143</v>
      </c>
      <c r="D88" s="20" t="n">
        <f aca="false">D86*D87</f>
        <v>7418.730825</v>
      </c>
      <c r="E88" s="20" t="n">
        <f aca="false">E86*E87</f>
        <v>4972.1982596</v>
      </c>
      <c r="F88" s="20" t="n">
        <f aca="false">F86*F87</f>
        <v>7021.08685278</v>
      </c>
      <c r="G88" s="20" t="n">
        <f aca="false">G86*G87</f>
        <v>9451.46307105</v>
      </c>
      <c r="H88" s="20" t="n">
        <f aca="false">H86*H87</f>
        <v>9876.77890924725</v>
      </c>
      <c r="I88" s="20" t="n">
        <f aca="false">I86*I87</f>
        <v>10271.8500656171</v>
      </c>
    </row>
    <row r="89" customFormat="false" ht="15" hidden="false" customHeight="false" outlineLevel="0" collapsed="false">
      <c r="B89" s="3" t="s">
        <v>171</v>
      </c>
      <c r="D89" s="20" t="n">
        <f aca="false">D88+D86*(Inputs!D34-Inputs!D35)</f>
        <v>7187.925866</v>
      </c>
      <c r="E89" s="20" t="n">
        <f aca="false">E88+E86*(Inputs!E34-Inputs!E35)</f>
        <v>4732.16110224</v>
      </c>
      <c r="F89" s="20" t="n">
        <f aca="false">F88+F86*(Inputs!F34-Inputs!F35)</f>
        <v>6769.047837552</v>
      </c>
      <c r="G89" s="20" t="n">
        <f aca="false">G88+G86*(Inputs!G34-Inputs!G35)</f>
        <v>9186.8221050606</v>
      </c>
      <c r="H89" s="20" t="n">
        <f aca="false">H88+H86*(Inputs!H34-Inputs!H35)</f>
        <v>9600.22909978833</v>
      </c>
      <c r="I89" s="20" t="n">
        <f aca="false">I88+I86*(Inputs!I34-Inputs!I35)</f>
        <v>9984.23826377986</v>
      </c>
    </row>
    <row r="90" customFormat="false" ht="15" hidden="false" customHeight="false" outlineLevel="0" collapsed="false">
      <c r="B90" s="3" t="s">
        <v>189</v>
      </c>
      <c r="D90" s="20" t="n">
        <f aca="false">D89*(1-Inputs!D39)</f>
        <v>5390.9443995</v>
      </c>
      <c r="E90" s="20" t="n">
        <f aca="false">E89*(1-Inputs!E39)</f>
        <v>3549.12082668</v>
      </c>
      <c r="F90" s="20" t="n">
        <f aca="false">F89*(1-Inputs!F39)</f>
        <v>5076.785878164</v>
      </c>
      <c r="G90" s="20" t="n">
        <f aca="false">G89*(1-Inputs!G39)</f>
        <v>6890.11657879545</v>
      </c>
      <c r="H90" s="20" t="n">
        <f aca="false">H89*(1-Inputs!H39)</f>
        <v>7200.17182484125</v>
      </c>
      <c r="I90" s="20" t="n">
        <f aca="false">I89*(1-Inputs!I39)</f>
        <v>7488.1786978349</v>
      </c>
    </row>
    <row r="91" customFormat="false" ht="15" hidden="false" customHeight="false" outlineLevel="0" collapsed="false">
      <c r="B91" s="3" t="s">
        <v>174</v>
      </c>
      <c r="D91" s="20" t="n">
        <f aca="false">D86*Inputs!D36</f>
        <v>1154.024795</v>
      </c>
      <c r="E91" s="20" t="n">
        <f aca="false">E86*Inputs!E36</f>
        <v>1200.1857868</v>
      </c>
      <c r="F91" s="20" t="n">
        <f aca="false">F86*Inputs!F36</f>
        <v>1260.19507614</v>
      </c>
      <c r="G91" s="20" t="n">
        <f aca="false">G86*Inputs!G36</f>
        <v>1323.204829947</v>
      </c>
      <c r="H91" s="20" t="n">
        <f aca="false">H86*Inputs!H36</f>
        <v>1382.74904729462</v>
      </c>
      <c r="I91" s="20" t="n">
        <f aca="false">I86*Inputs!I36</f>
        <v>1438.0590091864</v>
      </c>
    </row>
    <row r="92" customFormat="false" ht="15" hidden="false" customHeight="false" outlineLevel="0" collapsed="false">
      <c r="B92" s="3" t="s">
        <v>175</v>
      </c>
      <c r="D92" s="20" t="n">
        <f aca="false">-D86*Inputs!D37</f>
        <v>-2308.04959</v>
      </c>
      <c r="E92" s="20" t="n">
        <f aca="false">-E86*Inputs!E37</f>
        <v>-2228.9164612</v>
      </c>
      <c r="F92" s="20" t="n">
        <f aca="false">-F86*Inputs!F37</f>
        <v>-2160.33441624</v>
      </c>
      <c r="G92" s="20" t="n">
        <f aca="false">-G86*Inputs!G37</f>
        <v>-2268.351137052</v>
      </c>
      <c r="H92" s="20" t="n">
        <f aca="false">-H86*Inputs!H37</f>
        <v>-2291.41270694536</v>
      </c>
      <c r="I92" s="20" t="n">
        <f aca="false">-I86*Inputs!I37</f>
        <v>-2383.06921522318</v>
      </c>
    </row>
    <row r="93" customFormat="false" ht="15" hidden="false" customHeight="false" outlineLevel="0" collapsed="false">
      <c r="B93" s="3" t="s">
        <v>240</v>
      </c>
      <c r="C93" s="21" t="n">
        <f aca="false">Historicals!D29</f>
        <v>-352</v>
      </c>
      <c r="D93" s="20" t="n">
        <f aca="false">D86*Inputs!D38</f>
        <v>494.582055</v>
      </c>
      <c r="E93" s="20" t="n">
        <f aca="false">E86*Inputs!E38</f>
        <v>685.8204496</v>
      </c>
      <c r="F93" s="20" t="n">
        <f aca="false">F86*Inputs!F38</f>
        <v>360.05573604</v>
      </c>
      <c r="G93" s="20" t="n">
        <f aca="false">G86*Inputs!G38</f>
        <v>189.029261421</v>
      </c>
      <c r="H93" s="20" t="n">
        <f aca="false">H86*Inputs!H38</f>
        <v>197.535578184945</v>
      </c>
      <c r="I93" s="20" t="n">
        <f aca="false">I86*Inputs!I38</f>
        <v>205.437001312343</v>
      </c>
    </row>
    <row r="94" customFormat="false" ht="15" hidden="false" customHeight="false" outlineLevel="0" collapsed="false">
      <c r="B94" s="3" t="s">
        <v>191</v>
      </c>
      <c r="D94" s="20" t="n">
        <f aca="false">-(D93-C93)</f>
        <v>-846.582055</v>
      </c>
      <c r="E94" s="20" t="n">
        <f aca="false">-(E93-D93)</f>
        <v>-191.2383946</v>
      </c>
      <c r="F94" s="20" t="n">
        <f aca="false">-(F93-E93)</f>
        <v>325.76471356</v>
      </c>
      <c r="G94" s="20" t="n">
        <f aca="false">-(G93-F93)</f>
        <v>171.026474619</v>
      </c>
      <c r="H94" s="20" t="n">
        <f aca="false">-(H93-G93)</f>
        <v>-8.50631676394499</v>
      </c>
      <c r="I94" s="20" t="n">
        <f aca="false">-(I93-H93)</f>
        <v>-7.90142312739778</v>
      </c>
    </row>
    <row r="95" customFormat="false" ht="15" hidden="false" customHeight="false" outlineLevel="0" collapsed="false">
      <c r="B95" s="14" t="s">
        <v>241</v>
      </c>
      <c r="D95" s="36" t="n">
        <f aca="false">D90+D91+D92+D94</f>
        <v>3390.3375495</v>
      </c>
      <c r="E95" s="36" t="n">
        <f aca="false">E90+E91+E92+E94</f>
        <v>2329.15175768</v>
      </c>
      <c r="F95" s="36" t="n">
        <f aca="false">F90+F91+F92+F94</f>
        <v>4502.411251624</v>
      </c>
      <c r="G95" s="36" t="n">
        <f aca="false">G90+G91+G92+G94</f>
        <v>6115.99674630945</v>
      </c>
      <c r="H95" s="36" t="n">
        <f aca="false">H90+H91+H92+H94</f>
        <v>6283.00184842655</v>
      </c>
      <c r="I95" s="36" t="n">
        <f aca="false">I90+I91+I92+I94</f>
        <v>6535.26706867072</v>
      </c>
    </row>
    <row r="96" customFormat="false" ht="15" hidden="false" customHeight="false" outlineLevel="0" collapsed="false">
      <c r="B96" s="3" t="s">
        <v>242</v>
      </c>
      <c r="D96" s="20" t="n">
        <f aca="false">D95+DCF!D6</f>
        <v>2981.0875495</v>
      </c>
      <c r="E96" s="20" t="n">
        <f aca="false">E95+DCF!E6</f>
        <v>2329.15175768</v>
      </c>
      <c r="F96" s="20" t="n">
        <f aca="false">F95+DCF!F6</f>
        <v>4502.411251624</v>
      </c>
      <c r="G96" s="20" t="n">
        <f aca="false">G95+DCF!G6</f>
        <v>6115.99674630945</v>
      </c>
      <c r="H96" s="20" t="n">
        <f aca="false">H95+DCF!H6</f>
        <v>6283.00184842655</v>
      </c>
      <c r="I96" s="20" t="n">
        <f aca="false">I95+DCF!I6</f>
        <v>6535.26706867072</v>
      </c>
    </row>
    <row r="97" customFormat="false" ht="15" hidden="false" customHeight="false" outlineLevel="0" collapsed="false">
      <c r="B97" s="3" t="s">
        <v>243</v>
      </c>
      <c r="D97" s="20" t="n">
        <f aca="false">D96*DCF!D9</f>
        <v>2918.22656806219</v>
      </c>
      <c r="E97" s="20" t="n">
        <f aca="false">E96*DCF!E9</f>
        <v>2138.82322586807</v>
      </c>
      <c r="F97" s="20" t="n">
        <f aca="false">F96*DCF!F9</f>
        <v>3796.63958606307</v>
      </c>
      <c r="G97" s="20" t="n">
        <f aca="false">G96*DCF!G9</f>
        <v>4735.85679544868</v>
      </c>
      <c r="H97" s="20" t="n">
        <f aca="false">H96*DCF!H9</f>
        <v>4467.61364440017</v>
      </c>
      <c r="I97" s="20" t="n">
        <f aca="false">I96*DCF!I9</f>
        <v>4267.25765839498</v>
      </c>
    </row>
    <row r="98" customFormat="false" ht="15" hidden="false" customHeight="false" outlineLevel="0" collapsed="false">
      <c r="B98" s="3" t="s">
        <v>244</v>
      </c>
      <c r="D98" s="20" t="n">
        <f aca="false">SUM(D97:I97)+I95*(1+Inputs!$C$48)/(WACC!$C$16-Inputs!$C$48)/(1+WACC!$C$16)^DCF!$D$16</f>
        <v>87828.1642356374</v>
      </c>
    </row>
    <row r="99" customFormat="false" ht="15" hidden="false" customHeight="false" outlineLevel="0" collapsed="false">
      <c r="B99" s="3" t="s">
        <v>227</v>
      </c>
      <c r="D99" s="20" t="n">
        <f aca="false">D98-Inputs!$C$8</f>
        <v>78476.1642356374</v>
      </c>
    </row>
    <row r="100" customFormat="false" ht="15" hidden="false" customHeight="false" outlineLevel="0" collapsed="false">
      <c r="B100" s="14" t="s">
        <v>245</v>
      </c>
      <c r="D100" s="50" t="n">
        <f aca="false">D99/Inputs!$C$6</f>
        <v>1049.14658069034</v>
      </c>
    </row>
    <row r="102" customFormat="false" ht="15" hidden="false" customHeight="false" outlineLevel="0" collapsed="false">
      <c r="B102" s="14" t="s">
        <v>255</v>
      </c>
      <c r="D102" s="27" t="n">
        <f aca="false">$C$62+(Inputs!$C$5-D82)*($C$63-$C$62)/(D100-D82)</f>
        <v>0.205413937914415</v>
      </c>
    </row>
    <row r="103" customFormat="false" ht="15" hidden="false" customHeight="false" outlineLevel="0" collapsed="false">
      <c r="B103" s="17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55"/>
  </cols>
  <sheetData>
    <row r="1" customFormat="false" ht="17.35" hidden="false" customHeight="false" outlineLevel="0" collapsed="false">
      <c r="B1" s="16" t="s">
        <v>257</v>
      </c>
    </row>
    <row r="2" customFormat="false" ht="15" hidden="false" customHeight="false" outlineLevel="0" collapsed="false">
      <c r="B2" s="17" t="s">
        <v>258</v>
      </c>
    </row>
    <row r="4" customFormat="false" ht="15" hidden="false" customHeight="false" outlineLevel="0" collapsed="false">
      <c r="A4" s="4"/>
      <c r="B4" s="5" t="s">
        <v>259</v>
      </c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B5" s="55" t="s">
        <v>260</v>
      </c>
      <c r="C5" s="55" t="s">
        <v>261</v>
      </c>
      <c r="D5" s="55" t="s">
        <v>262</v>
      </c>
      <c r="E5" s="55" t="s">
        <v>263</v>
      </c>
      <c r="F5" s="55" t="s">
        <v>264</v>
      </c>
      <c r="G5" s="55" t="s">
        <v>265</v>
      </c>
    </row>
    <row r="6" customFormat="false" ht="15" hidden="false" customHeight="false" outlineLevel="0" collapsed="false">
      <c r="B6" s="3" t="s">
        <v>266</v>
      </c>
      <c r="C6" s="3" t="s">
        <v>267</v>
      </c>
      <c r="D6" s="3" t="s">
        <v>268</v>
      </c>
      <c r="E6" s="56" t="n">
        <v>8</v>
      </c>
      <c r="F6" s="56" t="n">
        <v>6.9</v>
      </c>
      <c r="G6" s="47" t="n">
        <v>1.11</v>
      </c>
      <c r="H6" s="17" t="s">
        <v>269</v>
      </c>
    </row>
    <row r="7" customFormat="false" ht="15" hidden="false" customHeight="false" outlineLevel="0" collapsed="false">
      <c r="B7" s="3" t="s">
        <v>270</v>
      </c>
      <c r="C7" s="3" t="s">
        <v>271</v>
      </c>
      <c r="D7" s="3" t="s">
        <v>272</v>
      </c>
      <c r="E7" s="56" t="n">
        <v>14.9</v>
      </c>
      <c r="F7" s="56" t="n">
        <v>12.4</v>
      </c>
      <c r="G7" s="47" t="n">
        <v>1.43</v>
      </c>
      <c r="H7" s="17" t="s">
        <v>273</v>
      </c>
    </row>
    <row r="8" customFormat="false" ht="15" hidden="false" customHeight="false" outlineLevel="0" collapsed="false">
      <c r="B8" s="3" t="s">
        <v>274</v>
      </c>
      <c r="C8" s="3" t="s">
        <v>275</v>
      </c>
      <c r="D8" s="3" t="s">
        <v>276</v>
      </c>
      <c r="E8" s="56" t="n">
        <v>18</v>
      </c>
      <c r="F8" s="56" t="n">
        <v>13.9</v>
      </c>
      <c r="G8" s="47" t="n">
        <v>1.35</v>
      </c>
      <c r="H8" s="17" t="s">
        <v>277</v>
      </c>
    </row>
    <row r="9" customFormat="false" ht="15" hidden="false" customHeight="false" outlineLevel="0" collapsed="false">
      <c r="B9" s="3" t="s">
        <v>278</v>
      </c>
      <c r="C9" s="3" t="s">
        <v>279</v>
      </c>
      <c r="D9" s="3" t="s">
        <v>280</v>
      </c>
      <c r="E9" s="56" t="n">
        <v>12.3</v>
      </c>
      <c r="F9" s="56" t="n">
        <v>7.5</v>
      </c>
      <c r="G9" s="57" t="s">
        <v>281</v>
      </c>
      <c r="H9" s="17" t="s">
        <v>282</v>
      </c>
    </row>
    <row r="10" customFormat="false" ht="15" hidden="false" customHeight="false" outlineLevel="0" collapsed="false">
      <c r="B10" s="3" t="s">
        <v>283</v>
      </c>
      <c r="C10" s="3" t="s">
        <v>284</v>
      </c>
      <c r="D10" s="3" t="s">
        <v>285</v>
      </c>
      <c r="E10" s="56" t="n">
        <v>24</v>
      </c>
      <c r="F10" s="56" t="n">
        <v>15</v>
      </c>
      <c r="G10" s="57" t="s">
        <v>281</v>
      </c>
      <c r="H10" s="17" t="s">
        <v>286</v>
      </c>
    </row>
    <row r="13" customFormat="false" ht="15" hidden="false" customHeight="false" outlineLevel="0" collapsed="false">
      <c r="B13" s="14" t="s">
        <v>287</v>
      </c>
      <c r="E13" s="58" t="n">
        <f aca="false">QUARTILE(E6:E10,1)</f>
        <v>12.3</v>
      </c>
      <c r="F13" s="58" t="n">
        <f aca="false">QUARTILE(F6:F10,1)</f>
        <v>7.5</v>
      </c>
    </row>
    <row r="14" customFormat="false" ht="15" hidden="false" customHeight="false" outlineLevel="0" collapsed="false">
      <c r="B14" s="14" t="s">
        <v>288</v>
      </c>
      <c r="E14" s="58" t="n">
        <f aca="false">MEDIAN(E6:E10)</f>
        <v>14.9</v>
      </c>
      <c r="F14" s="58" t="n">
        <f aca="false">MEDIAN(F6:F10)</f>
        <v>12.4</v>
      </c>
      <c r="G14" s="59" t="n">
        <f aca="false">MEDIAN(G6:G10)</f>
        <v>1.35</v>
      </c>
    </row>
    <row r="15" customFormat="false" ht="15" hidden="false" customHeight="false" outlineLevel="0" collapsed="false">
      <c r="B15" s="14" t="s">
        <v>289</v>
      </c>
      <c r="E15" s="58" t="n">
        <f aca="false">QUARTILE(E6:E10,3)</f>
        <v>18</v>
      </c>
      <c r="F15" s="58" t="n">
        <f aca="false">QUARTILE(F6:F10,3)</f>
        <v>13.9</v>
      </c>
    </row>
    <row r="16" customFormat="false" ht="15" hidden="false" customHeight="false" outlineLevel="0" collapsed="false">
      <c r="B16" s="17" t="s">
        <v>290</v>
      </c>
    </row>
    <row r="17" customFormat="false" ht="15" hidden="false" customHeight="false" outlineLevel="0" collapsed="false">
      <c r="B17" s="17" t="s">
        <v>291</v>
      </c>
    </row>
    <row r="19" customFormat="false" ht="15" hidden="false" customHeight="false" outlineLevel="0" collapsed="false">
      <c r="A19" s="4"/>
      <c r="B19" s="5" t="s">
        <v>292</v>
      </c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C20" s="60" t="s">
        <v>62</v>
      </c>
      <c r="D20" s="60" t="s">
        <v>63</v>
      </c>
      <c r="E20" s="60" t="s">
        <v>64</v>
      </c>
    </row>
    <row r="21" customFormat="false" ht="15" hidden="false" customHeight="false" outlineLevel="0" collapsed="false">
      <c r="B21" s="3" t="s">
        <v>195</v>
      </c>
      <c r="C21" s="61" t="n">
        <f aca="false">Forecast!D37</f>
        <v>13.1113583174253</v>
      </c>
      <c r="D21" s="61" t="n">
        <f aca="false">Forecast!E37</f>
        <v>20.7742299369291</v>
      </c>
      <c r="E21" s="61" t="n">
        <f aca="false">Forecast!F37</f>
        <v>13.5921890101463</v>
      </c>
    </row>
    <row r="22" customFormat="false" ht="15" hidden="false" customHeight="false" outlineLevel="0" collapsed="false">
      <c r="B22" s="3" t="s">
        <v>196</v>
      </c>
      <c r="C22" s="61" t="n">
        <f aca="false">Forecast!D38</f>
        <v>7.68449580219848</v>
      </c>
      <c r="D22" s="61" t="n">
        <f aca="false">Forecast!E38</f>
        <v>10.0044916417322</v>
      </c>
      <c r="E22" s="61" t="n">
        <f aca="false">Forecast!F38</f>
        <v>7.80198451011551</v>
      </c>
    </row>
    <row r="23" customFormat="false" ht="15" hidden="false" customHeight="false" outlineLevel="0" collapsed="false">
      <c r="B23" s="17" t="s">
        <v>293</v>
      </c>
    </row>
    <row r="25" customFormat="false" ht="15" hidden="false" customHeight="false" outlineLevel="0" collapsed="false">
      <c r="A25" s="4"/>
      <c r="B25" s="5" t="s">
        <v>294</v>
      </c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C26" s="60" t="s">
        <v>295</v>
      </c>
      <c r="D26" s="60" t="s">
        <v>288</v>
      </c>
      <c r="E26" s="60" t="s">
        <v>296</v>
      </c>
    </row>
    <row r="27" customFormat="false" ht="15" hidden="false" customHeight="false" outlineLevel="0" collapsed="false">
      <c r="B27" s="3" t="s">
        <v>297</v>
      </c>
      <c r="C27" s="62" t="n">
        <f aca="false">Forecast!F18</f>
        <v>60.8731970532754</v>
      </c>
    </row>
    <row r="28" customFormat="false" ht="15" hidden="false" customHeight="false" outlineLevel="0" collapsed="false">
      <c r="B28" s="3" t="s">
        <v>298</v>
      </c>
      <c r="C28" s="21" t="n">
        <f aca="false">Forecast!F36</f>
        <v>8029.242913692</v>
      </c>
    </row>
    <row r="29" customFormat="false" ht="15" hidden="false" customHeight="false" outlineLevel="0" collapsed="false">
      <c r="B29" s="3" t="s">
        <v>299</v>
      </c>
      <c r="C29" s="40" t="n">
        <f aca="false">WACC!C7</f>
        <v>0.099</v>
      </c>
    </row>
    <row r="31" customFormat="false" ht="15" hidden="false" customHeight="false" outlineLevel="0" collapsed="false">
      <c r="B31" s="14" t="s">
        <v>300</v>
      </c>
      <c r="C31" s="36" t="n">
        <f aca="false">$C$27*E13/(1+$C$29)</f>
        <v>681.292378303265</v>
      </c>
      <c r="D31" s="36" t="n">
        <f aca="false">$C$27*E14/(1+$C$29)</f>
        <v>825.305401359239</v>
      </c>
      <c r="E31" s="36" t="n">
        <f aca="false">$C$27*E15/(1+$C$29)</f>
        <v>997.013236541363</v>
      </c>
    </row>
    <row r="32" customFormat="false" ht="15" hidden="false" customHeight="false" outlineLevel="0" collapsed="false">
      <c r="B32" s="14" t="s">
        <v>301</v>
      </c>
      <c r="C32" s="36" t="n">
        <f aca="false">($C$28*F13-Inputs!$C$8)/Inputs!$C$6/(1+$C$29)</f>
        <v>618.784722288736</v>
      </c>
      <c r="D32" s="36" t="n">
        <f aca="false">($C$28*F14-Inputs!$C$8)/Inputs!$C$6/(1+$C$29)</f>
        <v>1097.38328146858</v>
      </c>
      <c r="E32" s="36" t="n">
        <f aca="false">($C$28*F15-Inputs!$C$8)/Inputs!$C$6/(1+$C$29)</f>
        <v>1243.89304448282</v>
      </c>
    </row>
    <row r="34" customFormat="false" ht="15" hidden="false" customHeight="false" outlineLevel="0" collapsed="false">
      <c r="B34" s="17" t="s">
        <v>302</v>
      </c>
    </row>
    <row r="35" customFormat="false" ht="15" hidden="false" customHeight="false" outlineLevel="0" collapsed="false">
      <c r="B35" s="17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6" min="3" style="0" width="12"/>
  </cols>
  <sheetData>
    <row r="1" customFormat="false" ht="17.35" hidden="false" customHeight="false" outlineLevel="0" collapsed="false">
      <c r="B1" s="16" t="s">
        <v>304</v>
      </c>
    </row>
    <row r="2" customFormat="false" ht="15" hidden="false" customHeight="false" outlineLevel="0" collapsed="false">
      <c r="B2" s="17" t="s">
        <v>305</v>
      </c>
    </row>
    <row r="4" customFormat="false" ht="15" hidden="false" customHeight="false" outlineLevel="0" collapsed="false">
      <c r="A4" s="4"/>
      <c r="B4" s="5" t="s">
        <v>306</v>
      </c>
      <c r="C4" s="4"/>
      <c r="D4" s="4"/>
      <c r="E4" s="4"/>
      <c r="F4" s="4"/>
    </row>
    <row r="5" customFormat="false" ht="15" hidden="false" customHeight="false" outlineLevel="0" collapsed="false">
      <c r="C5" s="60" t="s">
        <v>307</v>
      </c>
      <c r="D5" s="60" t="s">
        <v>308</v>
      </c>
      <c r="E5" s="60" t="s">
        <v>309</v>
      </c>
      <c r="F5" s="60" t="s">
        <v>310</v>
      </c>
    </row>
    <row r="6" customFormat="false" ht="15" hidden="false" customHeight="false" outlineLevel="0" collapsed="false">
      <c r="B6" s="3" t="s">
        <v>311</v>
      </c>
      <c r="C6" s="21" t="n">
        <f aca="false">Scenarios!D20</f>
        <v>594.274002479212</v>
      </c>
      <c r="D6" s="21" t="n">
        <f aca="false">DCF!D23</f>
        <v>943.866283148535</v>
      </c>
      <c r="E6" s="21" t="n">
        <f aca="false">Scenarios!D56</f>
        <v>1125.06051287675</v>
      </c>
      <c r="F6" s="20" t="n">
        <f aca="false">E6-C6</f>
        <v>530.786510397538</v>
      </c>
    </row>
    <row r="7" customFormat="false" ht="15" hidden="false" customHeight="false" outlineLevel="0" collapsed="false">
      <c r="B7" s="3" t="s">
        <v>312</v>
      </c>
      <c r="C7" s="21" t="n">
        <f aca="false">Comps!C31</f>
        <v>681.292378303265</v>
      </c>
      <c r="D7" s="21" t="n">
        <f aca="false">Comps!D31</f>
        <v>825.305401359239</v>
      </c>
      <c r="E7" s="21" t="n">
        <f aca="false">Comps!E31</f>
        <v>997.013236541363</v>
      </c>
      <c r="F7" s="20" t="n">
        <f aca="false">E7-C7</f>
        <v>315.720858238098</v>
      </c>
    </row>
    <row r="8" customFormat="false" ht="15" hidden="false" customHeight="false" outlineLevel="0" collapsed="false">
      <c r="B8" s="3" t="s">
        <v>313</v>
      </c>
      <c r="C8" s="21" t="n">
        <f aca="false">Comps!C32</f>
        <v>618.784722288736</v>
      </c>
      <c r="D8" s="21" t="n">
        <f aca="false">Comps!D32</f>
        <v>1097.38328146858</v>
      </c>
      <c r="E8" s="21" t="n">
        <f aca="false">Comps!E32</f>
        <v>1243.89304448282</v>
      </c>
      <c r="F8" s="20" t="n">
        <f aca="false">E8-C8</f>
        <v>625.10832219408</v>
      </c>
    </row>
    <row r="9" customFormat="false" ht="15" hidden="false" customHeight="false" outlineLevel="0" collapsed="false">
      <c r="B9" s="3" t="s">
        <v>314</v>
      </c>
      <c r="C9" s="21" t="n">
        <f aca="false">Inputs!C14</f>
        <v>730</v>
      </c>
      <c r="D9" s="21" t="n">
        <f aca="false">Inputs!D14</f>
        <v>853.4</v>
      </c>
      <c r="E9" s="21" t="n">
        <f aca="false">Inputs!E14</f>
        <v>900</v>
      </c>
      <c r="F9" s="20" t="n">
        <f aca="false">E9-C9</f>
        <v>170</v>
      </c>
    </row>
    <row r="10" customFormat="false" ht="15" hidden="false" customHeight="false" outlineLevel="0" collapsed="false">
      <c r="B10" s="3" t="s">
        <v>315</v>
      </c>
      <c r="C10" s="21" t="n">
        <f aca="false">Inputs!C13</f>
        <v>430</v>
      </c>
      <c r="D10" s="21" t="n">
        <f aca="false">(Inputs!C13+Inputs!D13)/2</f>
        <v>667.2</v>
      </c>
      <c r="E10" s="21" t="n">
        <f aca="false">Inputs!D13</f>
        <v>904.4</v>
      </c>
      <c r="F10" s="20" t="n">
        <f aca="false">E10-C10</f>
        <v>474.4</v>
      </c>
    </row>
    <row r="11" customFormat="false" ht="15" hidden="false" customHeight="false" outlineLevel="0" collapsed="false">
      <c r="B11" s="3" t="s">
        <v>316</v>
      </c>
      <c r="D11" s="62" t="n">
        <f aca="false">Inputs!C5</f>
        <v>827.4</v>
      </c>
    </row>
    <row r="13" customFormat="false" ht="15" hidden="false" customHeight="false" outlineLevel="0" collapsed="false">
      <c r="A13" s="4"/>
      <c r="B13" s="5" t="s">
        <v>317</v>
      </c>
      <c r="C13" s="25" t="s">
        <v>318</v>
      </c>
      <c r="D13" s="25" t="s">
        <v>319</v>
      </c>
      <c r="E13" s="4"/>
      <c r="F13" s="4"/>
    </row>
    <row r="14" customFormat="false" ht="15" hidden="false" customHeight="false" outlineLevel="0" collapsed="false">
      <c r="B14" s="3" t="s">
        <v>320</v>
      </c>
      <c r="C14" s="40" t="n">
        <f aca="false">Inputs!C52</f>
        <v>0.7</v>
      </c>
      <c r="D14" s="20" t="n">
        <f aca="false">D6</f>
        <v>943.866283148535</v>
      </c>
    </row>
    <row r="15" customFormat="false" ht="15" hidden="false" customHeight="false" outlineLevel="0" collapsed="false">
      <c r="B15" s="3" t="s">
        <v>321</v>
      </c>
      <c r="C15" s="40" t="n">
        <f aca="false">Inputs!C53</f>
        <v>0.15</v>
      </c>
      <c r="D15" s="20" t="n">
        <f aca="false">D7</f>
        <v>825.305401359239</v>
      </c>
    </row>
    <row r="16" customFormat="false" ht="15" hidden="false" customHeight="false" outlineLevel="0" collapsed="false">
      <c r="B16" s="3" t="s">
        <v>322</v>
      </c>
      <c r="C16" s="40" t="n">
        <f aca="false">Inputs!C54</f>
        <v>0.15</v>
      </c>
      <c r="D16" s="20" t="n">
        <f aca="false">D8</f>
        <v>1097.38328146858</v>
      </c>
    </row>
    <row r="17" customFormat="false" ht="15" hidden="false" customHeight="false" outlineLevel="0" collapsed="false">
      <c r="B17" s="14" t="s">
        <v>323</v>
      </c>
      <c r="D17" s="53" t="n">
        <f aca="false">ROUND(SUMPRODUCT(C14:C16,D14:D16),-1)</f>
        <v>950</v>
      </c>
    </row>
    <row r="18" customFormat="false" ht="15" hidden="false" customHeight="false" outlineLevel="0" collapsed="false">
      <c r="B18" s="3" t="s">
        <v>14</v>
      </c>
      <c r="D18" s="30" t="n">
        <f aca="false">D17/Inputs!C5-1</f>
        <v>0.148175006043026</v>
      </c>
    </row>
    <row r="19" customFormat="false" ht="15" hidden="false" customHeight="false" outlineLevel="0" collapsed="false">
      <c r="B19" s="3" t="s">
        <v>324</v>
      </c>
      <c r="D19" s="30" t="n">
        <f aca="false">Inputs!C12/Inputs!C5</f>
        <v>0.0265893159294175</v>
      </c>
    </row>
    <row r="20" customFormat="false" ht="15" hidden="false" customHeight="false" outlineLevel="0" collapsed="false">
      <c r="B20" s="14" t="s">
        <v>325</v>
      </c>
      <c r="D20" s="46" t="n">
        <f aca="false">D18+D19</f>
        <v>0.174764321972444</v>
      </c>
    </row>
    <row r="22" customFormat="false" ht="15" hidden="false" customHeight="false" outlineLevel="0" collapsed="false">
      <c r="B22" s="63" t="s">
        <v>11</v>
      </c>
      <c r="D22" s="64" t="str">
        <f aca="false">IF(D20&gt;=Inputs!C56,"BUY",IF(D20&lt;=Inputs!C57,"SELL","HOLD"))</f>
        <v>BUY</v>
      </c>
    </row>
    <row r="24" customFormat="false" ht="15" hidden="false" customHeight="false" outlineLevel="0" collapsed="false">
      <c r="B24" s="3" t="s">
        <v>326</v>
      </c>
      <c r="D24" s="40" t="n">
        <f aca="false">Scenarios!D102</f>
        <v>0.205413937914415</v>
      </c>
    </row>
    <row r="25" customFormat="false" ht="15" hidden="false" customHeight="false" outlineLevel="0" collapsed="false">
      <c r="B25" s="3" t="s">
        <v>327</v>
      </c>
      <c r="D25" s="40" t="n">
        <f aca="false">Inputs!I29</f>
        <v>0.23</v>
      </c>
    </row>
    <row r="26" customFormat="false" ht="15" hidden="false" customHeight="false" outlineLevel="0" collapsed="false">
      <c r="B26" s="3" t="s">
        <v>328</v>
      </c>
      <c r="D26" s="65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2026-09-14T08:46:06Z</dcterms:created>
  <dc:creator>openpyxl</dc:creator>
  <dc:description/>
  <dc:language>en-US</dc:language>
  <cp:lastModifiedBy/>
  <dcterms:modified xsi:type="dcterms:W3CDTF">2026-09-14T08:46:08Z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